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公关案例库" sheetId="2" r:id="rId4"/>
    <sheet name="行业与品牌关系表" sheetId="3" r:id="rId5"/>
    <sheet name="公关目标关系表" sheetId="4" r:id="rId6"/>
    <sheet name="传播渠道关系表"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s>
  <sheetData>
    <row r="1" ht="13" customHeight="1">
      <c r="A1" s="1" t="inlineStr">
        <is>
          <t>企业</t>
        </is>
      </c>
      <c r="B1" s="1" t="inlineStr">
        <is>
          <t>文件类型</t>
        </is>
      </c>
      <c r="C1" s="1" t="inlineStr">
        <is>
          <t>品牌/项目</t>
        </is>
      </c>
      <c r="D1" s="1" t="inlineStr">
        <is>
          <t>一级行业分类</t>
        </is>
      </c>
      <c r="E1" s="1" t="inlineStr">
        <is>
          <t>二级行业分类</t>
        </is>
      </c>
      <c r="F1" s="1" t="inlineStr">
        <is>
          <t>时间</t>
        </is>
      </c>
      <c r="G1" s="1" t="inlineStr">
        <is>
          <t>公关类型</t>
        </is>
      </c>
      <c r="H1" s="1" t="inlineStr">
        <is>
          <t>目标类型</t>
        </is>
      </c>
      <c r="I1" s="1" t="inlineStr">
        <is>
          <t>具体目标</t>
        </is>
      </c>
      <c r="J1" s="1" t="inlineStr">
        <is>
          <t>目标概况</t>
        </is>
      </c>
      <c r="K1" s="1" t="inlineStr">
        <is>
          <t>传播策略</t>
        </is>
      </c>
      <c r="L1" s="1" t="inlineStr">
        <is>
          <t>渠道大类</t>
        </is>
      </c>
      <c r="M1" s="1" t="inlineStr">
        <is>
          <t>渠道类型</t>
        </is>
      </c>
      <c r="N1" s="1" t="inlineStr">
        <is>
          <t>主要平台</t>
        </is>
      </c>
      <c r="O1" s="1" t="inlineStr">
        <is>
          <t>具体传播</t>
        </is>
      </c>
      <c r="P1" s="1" t="inlineStr">
        <is>
          <t>核心创意/执行亮点</t>
        </is>
      </c>
      <c r="Q1" s="1" t="inlineStr">
        <is>
          <t>具体内容/活动/流程</t>
        </is>
      </c>
      <c r="R1" s="1" t="inlineStr">
        <is>
          <t>执行概况</t>
        </is>
      </c>
      <c r="S1" s="1" t="inlineStr">
        <is>
          <t>应急预案</t>
        </is>
      </c>
      <c r="T1" s="1" t="inlineStr">
        <is>
          <t>优化建议与未来方向</t>
        </is>
      </c>
      <c r="U1" s="1" t="inlineStr">
        <is>
          <t>视觉参考</t>
        </is>
      </c>
      <c r="V1" s="1" t="inlineStr">
        <is>
          <t>传播效果</t>
        </is>
      </c>
      <c r="W1" s="1" t="inlineStr">
        <is>
          <t>关键KPI</t>
        </is>
      </c>
      <c r="X1" s="1" t="inlineStr">
        <is>
          <t>受众反馈</t>
        </is>
      </c>
      <c r="Y1" s="1" t="inlineStr">
        <is>
          <t>营销资料（ppt、反馈资料）</t>
        </is>
      </c>
      <c r="Z1" s="1" t="inlineStr">
        <is>
          <t>可参考性</t>
        </is>
      </c>
    </row>
    <row r="2" ht="25.5" customHeight="1">
      <c r="A2" t="inlineStr">
        <is>
          <t>手工瑞士卷theRollING</t>
        </is>
      </c>
      <c r="B2" t="inlineStr">
        <is>
          <t>活动策划</t>
        </is>
      </c>
      <c r="C2" s="2"/>
      <c r="D2" t="inlineStr">
        <is>
          <t>大消费</t>
        </is>
      </c>
      <c r="E2" t="inlineStr">
        <is>
          <t>餐饮类</t>
        </is>
      </c>
      <c r="F2" t="inlineStr">
        <is>
          <t>2024</t>
        </is>
      </c>
      <c r="G2" t="inlineStr">
        <is>
          <t>产品发布公关, 活动营销公关</t>
        </is>
      </c>
      <c r="H2" t="inlineStr">
        <is>
          <t>认知类目标, 行为类目标</t>
        </is>
      </c>
      <c r="I2" t="inlineStr">
        <is>
          <t>品牌知名度提升, 新品发布认知, 用户参与/共创, 销售促进</t>
        </is>
      </c>
      <c r="J2"/>
      <c r="K2" t="inlineStr">
        <is>
          <t>KOL/KOC影响力营销, 事件营销, 整合营销传播</t>
        </is>
      </c>
      <c r="L2" t="inlineStr">
        <is>
          <t>新媒体, 体验媒体</t>
        </is>
      </c>
      <c r="M2" t="inlineStr">
        <is>
          <t>社交媒体, 线下活动, 快闪/展陈空间, 内容平台</t>
        </is>
      </c>
      <c r="N2" t="inlineStr">
        <is>
          <t>微博, 抖音, 小红书, 大众点评, 品牌快闪</t>
        </is>
      </c>
      <c r="O2" t="inlineStr">
        <is>
          <t>与自媒体达人进行合作，举办一次美食达人内测品鉴会；• 主要目的为开业前期的媒体宣传，在各个媒体进行种草视频发布；通过视频传播为开业当天进行流量积攒和人气提升</t>
        </is>
      </c>
      <c r="P2" t="inlineStr">
        <is>
          <t>1. 美食达人宣传 2. 美陈打卡DP点 3. 品牌开幕仪式</t>
        </is>
      </c>
      <c r="Q2" t="inlineStr">
        <is>
          <t>1.与自媒体达人进行合作，举办一次美食达人内测品鉴会；• 主要目的为开业前期的媒体宣传，在各个媒体进行种草视频发布；通过视频传播为开业当天进行流量积攒和人气提升。2.开业美陈主题命名为“绽放春城”, 表达出品牌将在长春遍地开花的繁华景象；以克莱因蓝为主色的美陈进行展示，在门店侧面或商场内单独展厅位置均可，为来往行人提供拍照打卡的美陈展示。3.现场布置铺设蓝色地毯 蓝色嘉宾胸花、签到区域（现场设立品牌设计的翻页签到器，按一下即可增加一个数字，大家可进行互动签到拍照）、剪彩仪式花柱（开业仪式选择logo花柱剪彩，用logo+蓝色花艺制作成的花柱，邀请嘉宾一同进行剪彩仪式；礼物造型气球启动仪式，制作礼物型的启动道具，打开后内置logo气球整体飘起，制造热烈景象）</t>
        </is>
      </c>
      <c r="R2" t="inlineStr">
        <is>
          <t>现场布置铺设蓝色地毯 蓝色嘉宾胸花、签到区域（现场设立品牌设计的翻页签到器，按一下即可增加一个数字，大家可进行互动签到拍照）、剪彩仪式花柱（开业仪式选择logo花柱剪彩，用logo+蓝色花艺制作成的花柱，邀请嘉宾一同进行剪彩仪式；礼物造型气球启动仪式，制作礼物型的启动道具，打开后内置logo气球整体飘起，制造热烈景象）</t>
        </is>
      </c>
      <c r="S2"/>
      <c r="T2"/>
      <c r="U2"/>
      <c r="V2"/>
      <c r="W2"/>
      <c r="X2"/>
      <c r="Y2" s="3" t="str">
        <f>=HYPERLINK("https://scnymnlhceuf.feishu.cn/file/SrpSbAJB2oAMeFxO6GFcBL56nxb", "2024手工瑞士卷theRollING长春首店开业活动策划案.pdf")</f>
        <v>2024手工瑞士卷theRollING长春首店开业活动策划案.pdf</v>
      </c>
      <c r="Z2"/>
    </row>
    <row r="3" ht="25.5" customHeight="1">
      <c r="A3" t="inlineStr">
        <is>
          <t>四川省文旅推介活动</t>
        </is>
      </c>
      <c r="B3" t="inlineStr">
        <is>
          <t>活动策划</t>
        </is>
      </c>
      <c r="C3" s="2"/>
      <c r="D3" t="inlineStr">
        <is>
          <t>公共与非营利组织</t>
        </is>
      </c>
      <c r="E3" t="inlineStr">
        <is>
          <t>政府机关/事业单位</t>
        </is>
      </c>
      <c r="F3" t="inlineStr">
        <is>
          <t>2024</t>
        </is>
      </c>
      <c r="G3" t="inlineStr">
        <is>
          <t>活动营销公关</t>
        </is>
      </c>
      <c r="H3" t="inlineStr">
        <is>
          <t>认知类目标, 行为类目标</t>
        </is>
      </c>
      <c r="I3" t="inlineStr">
        <is>
          <t>品牌知名度提升, 信息传播与教育, 销售促进</t>
        </is>
      </c>
      <c r="J3" t="inlineStr">
        <is>
          <t>突出两大名片：安岳石刻、安岳柠檬；实现三个目标：文化传承与展示、文旅融合与创新、产业
推广与发展</t>
        </is>
      </c>
      <c r="K3" t="inlineStr">
        <is>
          <t>事件营销, 整合营销传播</t>
        </is>
      </c>
      <c r="L3" t="inlineStr">
        <is>
          <t>新媒体, 传统媒体, 体验媒体</t>
        </is>
      </c>
      <c r="M3" t="inlineStr">
        <is>
          <t>社交媒体, 广播电视媒体, 线下活动</t>
        </is>
      </c>
      <c r="N3" t="inlineStr">
        <is>
          <t>小红书, 抖音, 市级媒体, 参观游览</t>
        </is>
      </c>
      <c r="O3" t="inlineStr">
        <is>
          <t>以异地推广活动及开幕式作为活动宣发热点，联合整体活动进行全新立体包装。通过线上线下对重要节点进行节庆活动推广。1.短视频+网络推文预热：制作《镜头看安岳》系列短视频，展示安岳县的秋日美景、特色文化等，通过各大短视频平台广泛传播。撰写网络推文，依托安岳县文旅底蕴，对文旅推介会做预告。2.抖音话题视频风暴+KOL推流：step1：视频预热风暴，霸占区域流量• 创建#安逸四川 安柠安岳# #安柠安岳丰收季#• 以安岳非遗、乡村振兴为基底拍摄制作系列短视频，围绕人、景、事，通过采访+回忆录的形式，透过故事看发展。step2：记忆传承，KOL强势推流• 邀请抖音旅拍达人+资阳本地高能达人探访非遗传承，直播形式讲述技艺传承的故事。• 直播结束制作1分钟短视频“1分钟告诉你非遗高级感是如何炼成的？”3.联合直播| 发布形式：现场直播四川文旅厅公众号、四川观察、资阳电视台、安岳县融媒体中心等在抖音等平台联合进行直播。利用抖音信息流精准推荐功能，将直播内容推送给目标受众，提高曝光率。邀请50+专业媒体和KOL对活动进行通稿转载，从多个角度展现安岳县的文旅魅力。通过各大新闻网站、社交平台等渠道广泛传播，引发全网关注和讨论。4.前中后期，依托安岳县在成渝地区双城经济区的核心地位，拍摄制作易于社交媒体发布的活动短视频，配合点位活动等一系列配套活动，通过川渝主流媒体转发进行活动推广，打造《双城记-安岳频道》。</t>
        </is>
      </c>
      <c r="P3" t="inlineStr">
        <is>
          <t>集文化、旅游、农业于一体的综合性盛会:全面展示安岳县农文旅资源。</t>
        </is>
      </c>
      <c r="Q3" t="inlineStr">
        <is>
          <t>参观卧佛院旅游区参观安岳石窟数字展示中心；024年四川省秋季文旅推介活动开幕式；参观资阳市非遗、文创、特色产品市集；参观柠檬博览园；参观安岳柠檬展示馆；农文旅头部产业安岳行（座谈会）</t>
        </is>
      </c>
      <c r="R3"/>
      <c r="S3"/>
      <c r="T3"/>
      <c r="U3"/>
      <c r="V3" t="inlineStr">
        <is>
          <t>主体活动：以异地推广活动及开幕式作为活动宣发热点，联合整体活动进行全新立体包装。通过线上线下对重要节点进行节庆活动推广；50+旅游专业媒体和大众KOL持续宣传爆破，百万粉丝网红达人聚焦种草，完成热点传播。</t>
        </is>
      </c>
      <c r="W3" t="inlineStr">
        <is>
          <t>
</t>
        </is>
      </c>
      <c r="X3"/>
      <c r="Y3" s="3" t="str">
        <f>=HYPERLINK("https://scnymnlhceuf.feishu.cn/file/MBmNbEGFvoZ4cWxLvsNcTrEdnUd", "2024四川秋季文化旅游节暨文旅资源推介会活动方案【秋季旅游节】【秋季文旅推介会】.pdf")</f>
        <v>2024四川秋季文化旅游节暨文旅资源推介会活动方案【秋季旅游节】【秋季文旅推介会】.pdf</v>
      </c>
      <c r="Z3"/>
    </row>
    <row r="4" ht="25.5" customHeight="1">
      <c r="A4" t="inlineStr">
        <is>
          <t>玉泉老酒封坛</t>
        </is>
      </c>
      <c r="B4" t="inlineStr">
        <is>
          <t>活动策划</t>
        </is>
      </c>
      <c r="C4" s="2"/>
      <c r="D4" t="inlineStr">
        <is>
          <t>大消费</t>
        </is>
      </c>
      <c r="E4" t="inlineStr">
        <is>
          <t>餐饮类</t>
        </is>
      </c>
      <c r="F4" t="inlineStr">
        <is>
          <t>2025</t>
        </is>
      </c>
      <c r="G4" t="inlineStr">
        <is>
          <t>产品发布公关, 活动营销公关, 品牌公关</t>
        </is>
      </c>
      <c r="H4" t="inlineStr">
        <is>
          <t>认知类目标, 行为类目标</t>
        </is>
      </c>
      <c r="I4" t="inlineStr">
        <is>
          <t>品牌知名度提升, 信息传播与教育, 新品发布认知, 销售促进</t>
        </is>
      </c>
      <c r="J4" t="inlineStr">
        <is>
          <t>品牌产品双驱动：进一步打造“金源”玉泉“文化酱酒先行者”品牌属性，持续输出品牌  文化与产品结合</t>
        </is>
      </c>
      <c r="K4" t="inlineStr">
        <is>
          <t>KOL/KOC影响力营销, 事件营销, 整合营销传播, 内容营销</t>
        </is>
      </c>
      <c r="L4" t="inlineStr">
        <is>
          <t>新媒体, 传统媒体, 体验媒体</t>
        </is>
      </c>
      <c r="M4" t="inlineStr">
        <is>
          <t>社交媒体, 短视频平台, 内容平台, 快闪/展陈空间, 广播电视媒体</t>
        </is>
      </c>
      <c r="N4" t="inlineStr">
        <is>
          <t>微博, 小红书, 抖音, bilibili, 快手, 微信视频号</t>
        </is>
      </c>
      <c r="O4" t="inlineStr">
        <is>
          <t>整合营销，话题推广，多渠道整合推广，多样性热点话题上线关注度传播力指数级曝光，粉丝客群持续性增长全网营销主话题：多平台投放————前期强势发声，收集粉丝关注，制造话题热度，提高影响图文+视频————多形式结合，多角度展示，突出话题，传播热点渠道覆盖————全渠道覆盖，面向更多、更广、更众01邀请函3D立体可以是金源文化的缩影，也可以是玉泉酒厂地标建筑物，也可以是产品的立体微缩版02自媒体宣传话题推荐KOL为哈尔滨本地抖音、小红书高粉丝大号；为本次活动现场打卡发图文以此为活动进行宣传推广合作KOL， 03倒计时海报在各大媒体平台及官微官博发布活动海报及文案宣传，释放活 动信息。为活动造势，同时发布热议话题引导人们讨论关注</t>
        </is>
      </c>
      <c r="P4" t="inlineStr">
        <is>
          <t>呈现方式打破传统陈述式的活动思维通过多种艺术形式展现品牌理念打造品味与文化感兼具的封坛活动；以“金源文化”为主线，打造新型沉浸式舞美。打造“人在景中、景在人中”的整体氛围与视觉效果, 以人景交互的模式，利用光影变换染，为来宾打开多层次视听感受。让来宾获取体验感、稀缺感、新奇感、价值感，产生认同，激发封坛：串联贯穿“金源文化秘境”之旅，来宾能从”身”到“心”更能深入沉浸，为场景载体吸引大众关注认知和讨论</t>
        </is>
      </c>
      <c r="Q4" t="inlineStr">
        <is>
          <t>重体验：非遗体验,美食美酒品鉴，定制心愿封坛佳酿等；强展示：文艺演出，NPC互动，迎宾仪式，开市活动等；多互动：酒王争霸、掼蛋大赛，换装打卡，互动巡游</t>
        </is>
      </c>
      <c r="R4" t="inlineStr">
        <is>
          <t>门头/主仪式区用餐区市集区域休闲/私/私享区互动游戏封坛区功能场景细分迎宾空间门头造型以金源元素为主，融入玉泉品牌元素，两侧设置击鼓区，主仪式区是沉浸式开头的核心区域，承担表演、互动、签到等功能用餐空间互动空间游戏打卡基础设施活动亮点内部摆放长桌和座椅，营造聚餐氛围,桌面上放置桌布、餐巾纸、小装饰等每张桌子配备垃圾桶鸣锣开市后设置多个摊位,包含美食，非遗体验，互动，手作区，每个摊位设计统一的视觉风格，融入玉泉元素，摊位标注此区域统一用“银子”结算。设置多个游戏点，拍照墙等，提供拍照道具，趣味标语牌等，增强互动性如投壶，酒王争霸赛，“赌坊”等（参与游戏环节可抽取银子）在区域内设置桌椅等可供消费者休息，同时提供产品手册，新品资料等并安排专人维护卫生，卫生间区域设置明显的指示牌。在封坛区设置购买封坛仪式，如轿子巡游，抽取银子等活动</t>
        </is>
      </c>
      <c r="S4"/>
      <c r="T4"/>
      <c r="U4"/>
      <c r="V4"/>
      <c r="W4"/>
      <c r="X4"/>
      <c r="Y4" s="3" t="str">
        <f>=HYPERLINK("https://scnymnlhceuf.feishu.cn/file/Zg9UbIuinohOwNxqualcwASenwe", "2025白酒品牌文化论坛暨第九届玉泉老酒封坛文化节酒王争霸活动方案【白酒文化节】【白酒活动】.pdf")</f>
        <v>2025白酒品牌文化论坛暨第九届玉泉老酒封坛文化节酒王争霸活动方案【白酒文化节】【白酒活动】.pdf</v>
      </c>
      <c r="Z4"/>
    </row>
    <row r="5" ht="25.5" customHeight="1">
      <c r="A5" t="inlineStr">
        <is>
          <t>绿地溪山境</t>
        </is>
      </c>
      <c r="B5" t="inlineStr">
        <is>
          <t>活动策划</t>
        </is>
      </c>
      <c r="C5" s="2"/>
      <c r="D5" t="inlineStr">
        <is>
          <t>大消费</t>
        </is>
      </c>
      <c r="E5" t="inlineStr">
        <is>
          <t>旅游</t>
        </is>
      </c>
      <c r="F5" t="inlineStr">
        <is>
          <t>2025</t>
        </is>
      </c>
      <c r="G5" t="inlineStr">
        <is>
          <t>活动营销公关</t>
        </is>
      </c>
      <c r="H5" t="inlineStr">
        <is>
          <t>认知类目标</t>
        </is>
      </c>
      <c r="I5" t="inlineStr">
        <is>
          <t>信息传播与教育, 品牌知名度提升</t>
        </is>
      </c>
      <c r="J5"/>
      <c r="K5" t="inlineStr">
        <is>
          <t>事件营销, 整合营销传播</t>
        </is>
      </c>
      <c r="L5" t="inlineStr">
        <is>
          <t>体验媒体, 新媒体</t>
        </is>
      </c>
      <c r="M5" t="inlineStr">
        <is>
          <t>线下活动</t>
        </is>
      </c>
      <c r="N5" t="inlineStr">
        <is>
          <t>参观游览</t>
        </is>
      </c>
      <c r="O5" t="inlineStr">
        <is>
          <t>1.摄影摄像拍摄+修片，全城记录活动，实时精修十分适合朋友圈扩散转发。2.15S活动视频以最快的速度出现场的小视频，保证活动传播的时效性，提升活动影响力。3.</t>
        </is>
      </c>
      <c r="P5" t="inlineStr">
        <is>
          <t>活动一田园萌宠乐园-巨型稻草人打卡-萌宠喂养互动-小猪快跑比赛活动二山野农产品展-山野特产-珍贵药材泰山书画展-书法展-油画展活动五山谷云集市-民俗小吃</t>
        </is>
      </c>
      <c r="Q5" t="inlineStr">
        <is>
          <t>田园萌宠乐园 – 主题龙门氛围布置
 定制异形主题门头，以绿色系为主，搭配绿植与萌宠造型的立体桁架、KT板抱架门头，在来宾入场处集中呈现。整体风格突出自然绿色生态气质，营造清新、尊贵的入场体验感。
田园萌宠乐园 – 合影区氛围布置
 现场设置动物主题合影区，背景及道具均采用萌宠及田园元素设计，方便来宾自由合影留念，提升互动性与参与感。
田园萌宠乐园 – 欢乐牧场氛围布置
 欢乐牧场内通铺绿色地毯，以栅栏和仿真绿植进行点缀，草地上摆放仿真草球，营造动物自在生活的牧场氛围。场内悬挂动物信息介绍牌，方便来宾了解动物特点。外侧放置动物造型垃圾桶，引导规范投放垃圾，避免环境污染。
田园萌宠乐园 – 小猪快跑氛围布置
 “小猪快跑”比赛区域设置主题背景板与活动介绍指示牌，两侧以栅栏围挡，搭配绿植点缀。跑道通铺绿色地毯或画布，小猪身着专属“运动服”参与比赛，整体氛围活泼、有趣。
田园萌宠乐园 – 摸高比赛氛围布置
 在空闲区域设置摸高背景板，设计红色手印摸顶区。来宾如成功摸顶，可获得萌宠一只（推荐小鸡等小型禽类）作为奖品，增强活动的互动性和体验感。
田园萌宠乐园 – 树木包装
 在园区树木上悬挂彩色萌宠主题条幅，如“最美溪山镜”“欢迎大家”等标语，并在树枝上悬挂小伞等装饰，整体提升活动的节日感和趣味性。
活动内容二：山野农产品展
在游客中心设置展架、展柜，摆放各类山野农产品，来宾可自行购买。农产品包括：核桃、栗子、南瓜、冬瓜、向日葵、山鸡蛋、珍贵药材等。
山野农产品展 – 氛围布置
 木亭子南侧搭建主题背景桁架，入口右侧设置“丰收”主题堆头；入口左侧设置蔬菜合影展架，身穿卡通蔬菜服装的工作人员与来宾打卡互动。木亭外侧木柱点缀仿真绿植，上方以绿色鲜花、绿植垂蔓装饰，增加活动现场氛围。使用POP卡通价格签，更贴近活动调性；工作人员统一身穿绿色服装，烘托现场氛围。
活动内容三：泰山书画展
在游客中心设置展架、展柜，联合泰山书法协会、国画协会、油画协会举办“泰山书画展”，供客户观赏，如有中意作品可现场购买。
泰山书画展 – 情景堆头氛围布置
 现场设置书法国画展示架（示意），搭建情景堆头，以卷轴搭配工艺摆件进行陈列，烘托艺术氛围。
泰山书画展 – 氛围布置
 活动现场设置活动主题背景板及作品介绍展板，安排工作人员为来宾讲解作品，提升观展体验。
泰山书画展 – 冷餐氛围布置
 现场摆放冷餐台，提供简单冷餐供来宾品尝体验，在观展同时营造轻松雅致的活动氛围。
活动内容四：浪漫热气球
当热气球缓缓在清风中漂流，每一分钟都是独一无二的体验，让这个假期充满浪漫与惊喜——让热气球带你“潇洒带你飞”。
浪漫热气球 – 氛围堆头布置
 现场设置热气球主题氛围堆头、花艺拱门、异形图书背景、热气球摆件、鸟笼等道具，为来宾提供一个网红打卡点。
浪漫热气球 – 细节布置
 现场设置热气球通道，通道两侧使用铁马围栏围挡，并进行画面装饰，提升活动氛围。乘坐环节由专门工作人员引导客户进行热气球漂流体验（凭券参与）。
活动内容四（另一板块）：山谷云集市
“山谷云集市”汇集民俗小吃、非遗文化、文创手工等内容，采用桁架搭建云集市展示区，整体统一画面风格，营造具有山谷特色的文创集市氛围。
山谷云集市 – 氛围布置
 在入口位置搭建异形桁架背景板，搭配欧式推车及木质产品介绍展板，形成极具视觉冲击力的市集入口，让来宾一进场便眼前一亮。
活动内容五：园区寻宝 – 寻宝大作战
寻宝大作战环节说明：
 (1) 客户签到后领取游园券；
 (2) 持券进入园区参观游览，游园券版面中体现寻宝提示地点（券面印制园区 5 处景观缩影）；
 (3) 共设计 5 张寻宝卡，内容均为“最美溪山境”，提前将寻宝卡分别放置在园区 5 处不同景观位置，每处景观范围内放置 10 张寻宝卡；
 (4) 客户集齐 5 张寻宝卡后，返回售楼处可领取礼品一份；
 (5) 客户在园区与动物展架合影，拍照并发布至朋友圈后，也可返回售楼处再领取礼品一份。
通过在园区内设置寻宝环节，一方面吸引客户积极参与活动，另一方面可在寻宝过程中引导客户深入了解项目与园区环境。</t>
        </is>
      </c>
      <c r="R5" t="inlineStr">
        <is>
          <t>1.摄影摄像拍摄+修片，全城记录活动，实时精修十分适合朋友圈扩散转发。2.15S活动视频以最快的速度出现场的小视频，保证活动传播的时效性，提升活动影响力。3.</t>
        </is>
      </c>
      <c r="S5"/>
      <c r="T5"/>
      <c r="U5"/>
      <c r="V5"/>
      <c r="W5"/>
      <c r="X5"/>
      <c r="Y5" s="3" t="str">
        <f>=HYPERLINK("https://scnymnlhceuf.feishu.cn/file/ZgCBb7LA3oVgTTxRYJwcj0GInGd", "2025绿地溪山境微度假山谷旅游田园生活节农产品展国庆中秋主题活动方案【中秋活动】【国庆节活动】.pdf")</f>
        <v>2025绿地溪山境微度假山谷旅游田园生活节农产品展国庆中秋主题活动方案【中秋活动】【国庆节活动】.pdf</v>
      </c>
      <c r="Z5"/>
    </row>
    <row r="6" ht="25.5" customHeight="1">
      <c r="A6" t="inlineStr">
        <is>
          <t>武汉金域医学检测篮球队</t>
        </is>
      </c>
      <c r="B6" t="inlineStr">
        <is>
          <t>活动策划</t>
        </is>
      </c>
      <c r="C6" s="2"/>
      <c r="D6" t="inlineStr">
        <is>
          <t>文化、媒体与商业服务</t>
        </is>
      </c>
      <c r="E6" t="inlineStr">
        <is>
          <t>营销与商业服务</t>
        </is>
      </c>
      <c r="F6" t="inlineStr">
        <is>
          <t>2025</t>
        </is>
      </c>
      <c r="G6" t="inlineStr">
        <is>
          <t>活动营销公关, 企业形象公关, 品牌公关</t>
        </is>
      </c>
      <c r="H6" t="inlineStr">
        <is>
          <t>认知类目标, 行为类目标</t>
        </is>
      </c>
      <c r="I6" t="inlineStr">
        <is>
          <t>品牌知名度提升, 信息传播与教育, 用户参与/共创</t>
        </is>
      </c>
      <c r="J6" t="inlineStr">
        <is>
          <t>定向挖掘经开周边核心客户群体，触达目标客群资源，宣传未来中心项目，为项目引流。</t>
        </is>
      </c>
      <c r="K6" t="inlineStr">
        <is>
          <t>整合营销传播, 事件营销</t>
        </is>
      </c>
      <c r="L6" t="inlineStr">
        <is>
          <t>体验媒体</t>
        </is>
      </c>
      <c r="M6" t="inlineStr">
        <is>
          <t>线下活动</t>
        </is>
      </c>
      <c r="N6"/>
      <c r="O6" t="inlineStr">
        <is>
          <t>1.【线上招募】未来中心官方账号，发布赛事信息，开启报名入口。 【线下招募】1,在体育中心设置外展点，吸引目标群体报名。2,定向邀约，给周边企业篮球队发出邀请函。2.走进企业  招募方式推荐方式一【企业展点摊位地推】1.在企业园区门口、或者员工食堂设立未来中心宣传展点，安排工作人员进行宣传“厂BA”赛事。2.扫码了解详情活动详情，获得运动速干毛巾一条。 方式二【企业内讲坛】1.邀请专业护理老师，在企业会议室内做一场“篮球的运动防护”讲堂，吸引篮球爱好者参加，借此宣传“厂BA”赛事，邀约大家报名。2.凡参加讲坛者，均可领取运动护腕一对。</t>
        </is>
      </c>
      <c r="P6" t="inlineStr">
        <is>
          <t>篮不住的热血——经开未来杯“厂BA”篮球赛；联动经开周边政企篮球队，在体育中心举办一场“厂BA”篮球赛，聚集人气，角逐优胜队伍为经开未来杯“厂BA”获得奖杯，以及3w元现金大奖。</t>
        </is>
      </c>
      <c r="Q6" t="inlineStr">
        <is>
          <t>比赛分为小组分组初赛、半决赛、决赛。【小组分组初赛】：10支队伍通过抽签，将所有球队分成5个小组，每个小组进行对决赛，赢者胜，决胜出5支队伍晋级。【半决赛】：5支队伍进行循环积分赛，每支队伍打2场，共计5场，胜者积2分，败者不得分，积分前3名进入决赛。【决赛】：3支队伍进行循环积分赛，每支队伍打2场，共计3场，胜者积2分，败者不得分，积分第1名为冠军。若出现平局则加赛</t>
        </is>
      </c>
      <c r="R6" t="inlineStr">
        <is>
          <t>1.准备抽签箱，各球队提前抽取对决对手。2.邀请啦啦队于球赛开场、中场表演，点燃现场氛围。3.邀请湖北省裁判协会裁判员、中国大学生体育协会、中国中学生体育协会专业篮球裁判。4.专业体育赛事主持人：童靓莹主持从业7年时间，专业于体育竞技类、电竞类、品牌类、 汽车类等。毕业于一本院校武汉体育学院播音与主持 艺术，普通话一级乙等，全职从事且专业 于主持工作。录制电竞类节目《巅峰竞界》，汽车类节 目《车族风》，录制品牌宣传广告在各大 卫视播出。2018世界羽毛球锦标赛、2015-2018亚洲 羽毛球锦标赛赛事组委会指定主持人、播 音员，现场主持在CCTV5直播。5.邀请武汉体育学院、武汉传媒学院专业篮球赛事解说员 6.场外布置：沿路道旗在赛事场馆外场布置道旗，昭示活动现场的同时，营造活动氛围。签到：设置签到处，露出未来中心品牌，球队到场签到，观众到场签到领取未来中心定制活动手环。路引指示：赛事场馆指引以易拉宝展架作为场馆指引，同时携带未来中心项目信息。 篮球场布置：布置氛围A板、横幅、地贴、背景板、仲裁区、颁奖区、以及赛事解说直播区。 公众席布置：在观众席设置定制未来中心充气棒营造氛围。</t>
        </is>
      </c>
      <c r="S6"/>
      <c r="T6"/>
      <c r="U6"/>
      <c r="V6"/>
      <c r="W6"/>
      <c r="X6"/>
      <c r="Y6" s="3" t="str">
        <f>=HYPERLINK("https://scnymnlhceuf.feishu.cn/file/C04kbVR2doSZXbxZHGOcZbDcnEf", "2025企业“厂BA”篮球赛“篮不住的热血”主题活动策划方案【体育赛事】【篮球活动】.pdf")</f>
        <v>2025企业“厂BA”篮球赛“篮不住的热血”主题活动策划方案【体育赛事】【篮球活动】.pdf</v>
      </c>
      <c r="Z6"/>
    </row>
    <row r="7" ht="25.5" customHeight="1">
      <c r="A7" t="inlineStr">
        <is>
          <t>xx公司</t>
        </is>
      </c>
      <c r="B7" t="inlineStr">
        <is>
          <t>活动策划</t>
        </is>
      </c>
      <c r="C7" s="2"/>
      <c r="D7" t="inlineStr">
        <is>
          <t>文化、媒体与商业服务</t>
        </is>
      </c>
      <c r="E7" t="inlineStr">
        <is>
          <t>营销与商业服务</t>
        </is>
      </c>
      <c r="F7" t="inlineStr">
        <is>
          <t>2025</t>
        </is>
      </c>
      <c r="G7" t="inlineStr">
        <is>
          <t>员工关系公关</t>
        </is>
      </c>
      <c r="H7" t="inlineStr">
        <is>
          <t>关系类目标</t>
        </is>
      </c>
      <c r="I7" t="inlineStr">
        <is>
          <t>员工关系</t>
        </is>
      </c>
      <c r="J7" t="inlineStr">
        <is>
          <t>1、通过协作骑行任务，提升团队成员默契与信任，增强团队凝聚力。2、用骑行里程和趣味任务激发团队成员的毅力与目标感，挑战自我，突破舒适区。3、缓解工作压力，促进跨部门交流，营造轻松氛围，让参与者放松身心，亲近自然。</t>
        </is>
      </c>
      <c r="K7" t="inlineStr">
        <is>
          <t>其他</t>
        </is>
      </c>
      <c r="L7" t="inlineStr">
        <is>
          <t>体验媒体</t>
        </is>
      </c>
      <c r="M7" t="inlineStr">
        <is>
          <t>线下活动</t>
        </is>
      </c>
      <c r="N7"/>
      <c r="O7"/>
      <c r="P7" t="inlineStr">
        <is>
          <t>活动主题：快乐骑行 释放多巴胺—— 健康生活 全民骑行向未来</t>
        </is>
      </c>
      <c r="Q7" t="inlineStr">
        <is>
          <t>活动时间：全年均可举办，可根据团队需求和天气状况灵活选择具体日期。活动人数：建议参与人数为 30 - 50 人，这样的规模既能保证团队活动的氛围，又便于组织和管理。活动调性：整体氛围轻松、自由、社交、趣味且贴近自然。活动鼓励参与者放下工作压力，在自由骑行中感受大自然，通过丰富有趣的活动促进团队成员之间的交流与互动。活动形式：以骑行运动为主线，串联起一系列丰富多样的活动。包括骑行途中完成趣味任务打卡、参与骑趣运动游戏；抵达露营地后，开展露营烧烤、篝火晚会等活动。</t>
        </is>
      </c>
      <c r="R7" t="inlineStr">
        <is>
          <t>1.突发事件应急指挥部：总体协调、安排、组织各项安全应急工作，迅速处理突发事件的应急救援工作。具体工作内容如下：2.安全保卫应急组：负责提前到场，配合突发事件应急指挥部工作；负责晚会现场、舞台四周、演员休息室、嘉宾席的安全防控；负责提前清场，严禁无关人员演出前滞留演出现场；负责门禁、现场查验，防止有与晚会不相干的人员等外来人员进场；保证现场良好的演出秩序，严防寻衅滋事情况发生；如遇突发事件，积极配合其他工作小组开展工作。3.医疗救护应急组：负责现场一般医疗药品、器材、器具的配备；现场安排指定人员、担架，进行医疗救护备用；如遇突发事故，应及时救助，必要时送医务室治疗或拨打120。4.消防安全应急组：负责音乐节开始前的消防安全培训及预演练；负责晚会现场及周边场地消防器材的提前布置；演出舞台、演员更衣室的消防安全，及废弃物的及时合理处理；负责晚会现场秩序，严禁吸烟、玩火；紧急情况下演出现场电源的切断与现场消防应急处置。5.紧急疏散应急组：负责晚会现场疏散出口选定；负责紧急疏散标识的制定与放置；负责舞台、嘉宾席、高台等紧急疏散设施的安全检查；负责准备哨子、扩音喇叭、应急照明灯等紧急提醒器材并查看其有效性；负责保持疏散通道畅通，防止人员拥堵情况的发生，及紧急情况下人员情绪的稳定、防止踩踏事件发生；紧急情况下可任意征调其他工作小组的人员。6.舞台、幕后突发情况处理组：负责舞台、幕后等演员适当调度；处理舞台设施、幕后情况的突发事件。负责设备的流通、灯光调配的对讲。负责演员的点到和通知上台和跟主持人沟通传达。在来宾区周围及主要通道处安排工作人员及保安，有序入场和退场，出现紧急情况，立即组织人员疏散v如场内发生混乱时由场内的工作人员及礼仪迅速引领领导到VIP休息室，确保在场领导的安全v主持人利用现场广播对场内的人员进行引导和疏散v出现紧急情况，造成人员伤病，则立即组织车辆和人员送往医院。v安排备用电源发电设备v突发停电时，专人启用备用电源设备，保证现场供电及照明，保证活动的顺利完成。v活动临时改期，则由活动主办方协调确定活动的最终日期。v需通过专人或电话，及时通知特邀领导及贵宾，并说明改期原因和活动的最终日期。v其他邀请嘉宾可通过手机短信的形式告知。</t>
        </is>
      </c>
      <c r="S7" t="inlineStr">
        <is>
          <t>为了确实做好恶劣天气预防及应急预案工作措施，保障活动的顺利进行，结合活动中的实际情况，我司特制定天气应急预案如下：v成立天气应急预案工作小组：v突发情况的处置：提前5天对天气预报进行跟踪，并以工作联系函的形式通报贵司。如在预知活动当天有暴雨等恶劣天气的情况下，我司立即通报贵司，并协商是否更改活动举办时间，以保证活动效果。v如不做时间修改，将提供雨棚搭建措施，雨棚高度不低于6米。v如在活动当天遇大风、大雨等恶劣天气，将根据天气情况采取一定的应急措施，如提示客户、备雨伞、雨披等。v副组长要及时把握天气情况，如有恶劣天气预知，应第一时间反馈活动项目经理。v执行团队相关成员注意及时对活动现场积水道路、湿滑路面的防滑处理措施。v相关各区域环节负责人在湿滑区域放置友情提示牌。v现场设置紧急医疗箱，准备常规药品，如防暑降温药、风油精、创可贴等v设定一键拨号，活动前了解距离现场最近的120急救中心，救护车响应时间v活动前相关培训：工作人员培训v为了保证活动成功举办，本公司负责活动的相关培训。有关工作人员的培训内容涉及：活动内容、活动流程、现场配合</t>
        </is>
      </c>
      <c r="T7"/>
      <c r="U7"/>
      <c r="V7"/>
      <c r="W7"/>
      <c r="X7"/>
      <c r="Y7" s="3" t="str">
        <f>=HYPERLINK("https://scnymnlhceuf.feishu.cn/file/HPUAbH6p6o0POnxjLuRc8Jijnke", "2025企业户外骑行运动团建“快乐骑行释放多巴胺”主题活动策划方案【户外活动】【团建活动】.pdf")</f>
        <v>2025企业户外骑行运动团建“快乐骑行释放多巴胺”主题活动策划方案【户外活动】【团建活动】.pdf</v>
      </c>
      <c r="Z7"/>
    </row>
    <row r="8" ht="25.5" customHeight="1">
      <c r="A8" t="inlineStr">
        <is>
          <t>xx商场</t>
        </is>
      </c>
      <c r="B8" t="inlineStr">
        <is>
          <t>活动策划</t>
        </is>
      </c>
      <c r="C8" s="2"/>
      <c r="D8" t="inlineStr">
        <is>
          <t>大消费</t>
        </is>
      </c>
      <c r="E8" t="inlineStr">
        <is>
          <t>健康护理与医疗器械</t>
        </is>
      </c>
      <c r="F8" t="inlineStr">
        <is>
          <t>2025</t>
        </is>
      </c>
      <c r="G8" t="inlineStr">
        <is>
          <t>活动营销公关</t>
        </is>
      </c>
      <c r="H8" t="inlineStr">
        <is>
          <t>认知类目标, 行为类目标</t>
        </is>
      </c>
      <c r="I8" t="inlineStr">
        <is>
          <t>品牌知名度提升, 销售促进, 用户参与/共创, 用户增长/留存</t>
        </is>
      </c>
      <c r="J8" t="inlineStr">
        <is>
          <t>1.提升项目知名度结合秋季养生热点与朋克文化，定制独特活动，通过话题性事件提升项目曝光度，打造品牌记忆点。2.增强客群粘性针对年轻群体，融合养生与潮流元素，提供多样化体验，满足他们对健康生活的追求，增强品牌忠诚度。3.促进销售转化借势活动热度，为营销中心聚集人气，通过互动体验促进销售转化，实现活动价值最大化。</t>
        </is>
      </c>
      <c r="K8" t="inlineStr">
        <is>
          <t>内容营销, 事件营销, 整合营销传播</t>
        </is>
      </c>
      <c r="L8" t="inlineStr">
        <is>
          <t>新媒体, 体验媒体</t>
        </is>
      </c>
      <c r="M8" t="inlineStr">
        <is>
          <t>社交媒体, 线下活动, 快闪/展陈空间</t>
        </is>
      </c>
      <c r="N8" t="inlineStr">
        <is>
          <t>微博, 小红书, 朋友圈, 微信视频号, 品牌快闪, 参观游览</t>
        </is>
      </c>
      <c r="O8" t="inlineStr">
        <is>
          <t>阶段一：活动预热海报宣传周期：活动前3-4周推广平台：公众号、视频号、朋友圈创意海报：以“人参赢家｜秋季朋克青年硬核养生节”为主题，海报采用复古朋克风格，融入人参、音符、太极等元素，色彩以深红、金色为主，营造出神秘而富有活力的氛围。文案创意：“在这个秋天，让我们一起踏上硬核养生之旅。人参不再是传说，朋克风也能养生。你，准备好了吗？” 阶段二：活动预热话题：话题主题：#秋日养生朋克风#u 创意文案：“在这个秋天，拒绝平庸，拒绝躺平！一起加入#秋日养生朋克风#，用最硬核的方式，养最潮的自己。晒出你的养生妙招，抽选养生锦鲤！”u 互动方式：参与者通过分享自己的养生照片或视频，并附#秋日养生朋克风#话题，发表至社交平台，即可参与抽奖活动。阶段三：活动预热视频：视频创意：“硬核养生，不只是说说而已”u 创意概念：推出一系列创意短视频，以微电影形式讲述几位朋克青年的养生奇遇，穿插时尚与传统、叛逆与养生的碰撞。视频结尾以一句：「硬核养生，不只是说说而已。『人参赢家』等你来，共赴这场秋季的养生盛宴。」配以动感又不失温柔的背景音乐，直观展现活动魅力，激发观众兴趣。阶段四：活动话题传播：创意话题： #养生达人挑战赛#u 创意文案：“养生不将就，生活更精彩！晒出你的养生秘籍，分享你在「人参赢家」秋季朋克养生节的独特体验。#养生达人挑战赛#，最IN养生达人就是你！”u 互动方式：参与者在社交平台上发布带#养生达人挑战赛#话题的图文或视频，分享自己的养生心得或活动体验。内容获得超过100赞，即可至项目现场领取限量礼品一份。</t>
        </is>
      </c>
      <c r="P8" t="inlineStr">
        <is>
          <t>打破传统养生的刻板印象，以朋克的态度重新定义秋冬养生。让朋克青年们在保持个性的同时，享受养生乐趣。</t>
        </is>
      </c>
      <c r="Q8" t="inlineStr">
        <is>
          <t>1.养生诊断中心 （把脉诊断打卡）一起CITY养生局，中华养生血脉觉醒，当代年轻人有自己的养生方式，CHILL的养生体验，老中医诊断开方、针灸、推拿、拔罐、刮痧等古老疗法大放异彩，深度放松感受养生魅力2. 朋克养生市集（养生市集体验）赛博养生局出摊，喝茶泡脚好养生，融合传统与潮流，养生药膳甜品站、养生咖啡、养生奶茶、中式糕点小吃，文创等，让大家在玩乐中感受中医文化的魅力。3.疗愈手作工坊（养生沙龙互动）养生新方式，草本养生DIY手作，手工制作草本香薰蜡烛、养生茶、中药香囊、艾草养生锤等，还有养生沙龙讲座与面部刮痧体验，感受手作乐趣与治愈的快乐。4. 回血音疗派对（回血派对狂欢）通过八段锦教学、大师太极体验、音钵疗愈、心灵艺术涂鸦等活动，放松身心，感受音乐疗愈的力量。</t>
        </is>
      </c>
      <c r="R8" t="inlineStr">
        <is>
          <t>1.成立活动项目组1.指定人员负责项目的沟通工作统筹。2.根据工作内容细化分项工作组。3.安排定期会议以及临时情况特殊会议沟通活动进度，确保活动顺利进行。2.场 地 搭 建 管 理1.明确活动场地的使用情况，包含电量负荷、提供电源的接口位置、走线位置等。2.活动开始前必须检查各种硬件设施保证活动顺利进行。3.彩排测试音响、灯光、大屏等活动设备。4.活 动 物 料 管 理1、所有活动所需的物料，提前一天放置到指定位置，指派专人进行看管2、派专人负责所有材料的运输与分发3、活动结束后，办理出场手续，及时拆除返库并登记归位到合理堆放状态5.活 动 培 训 管 理1.活动项目组相关人员同步活动进度，确保活动执行的一致性。2.活动执行各环节安排第一责任人，负责活动彩排、 走位，现场执行等工作。3.活动前对项目组人员进行标准化的培训。6.活 动 摄 像 管 理1.邀请专业的摄影师及摄像师到场2.专业设备及后期剪辑，保证效果3.对活动照片进行质量筛选，分类存档4.对活动素材整理剪辑为活动出Gai视频以及花絮视频，用于活动后期发酵。</t>
        </is>
      </c>
      <c r="S8"/>
      <c r="T8"/>
      <c r="U8"/>
      <c r="V8"/>
      <c r="W8"/>
      <c r="X8"/>
      <c r="Y8" s="3" t="str">
        <f>=HYPERLINK("https://scnymnlhceuf.feishu.cn/file/Y9GlbhQ5po0RMBxPb0Bc07i7nJd", "2025商场地产秋季朋克青年养生节“脆皮年轻人秋冬养生指南”主题活动策划方案【秋季活动】【养生活动】.pdf")</f>
        <v>2025商场地产秋季朋克青年养生节“脆皮年轻人秋冬养生指南”主题活动策划方案【秋季活动】【养生活动】.pdf</v>
      </c>
      <c r="Z8"/>
    </row>
    <row r="9" ht="25.5" customHeight="1">
      <c r="A9" t="inlineStr">
        <is>
          <t>xx商场</t>
        </is>
      </c>
      <c r="B9" t="inlineStr">
        <is>
          <t>活动策划</t>
        </is>
      </c>
      <c r="C9" s="2"/>
      <c r="D9" t="inlineStr">
        <is>
          <t>大消费</t>
        </is>
      </c>
      <c r="E9" t="inlineStr">
        <is>
          <t>餐饮类</t>
        </is>
      </c>
      <c r="F9" t="inlineStr">
        <is>
          <t>2025</t>
        </is>
      </c>
      <c r="G9" t="inlineStr">
        <is>
          <t>活动营销公关</t>
        </is>
      </c>
      <c r="H9" t="inlineStr">
        <is>
          <t>认知类目标, 行为类目标</t>
        </is>
      </c>
      <c r="I9" t="inlineStr">
        <is>
          <t>品牌知名度提升, 销售促进, 用户参与/共创, 用户增长/留存</t>
        </is>
      </c>
      <c r="J9" t="inlineStr">
        <is>
          <t>1.结合秋季营销节点定制爆款活动，制造大量热点话题，提升项目热度，从而提升项目知名度。2.融合年轻化客群偏爱的活动元素，用形式丰富玩法多样的活动“拿捏”年轻人的喜好，增强目标客群粘性。3.借势活动热度，为营销中心聚集人气，进行销售转化。</t>
        </is>
      </c>
      <c r="K9" t="inlineStr">
        <is>
          <t>内容营销, 事件营销, 其他, KOL/KOC影响力营销</t>
        </is>
      </c>
      <c r="L9" t="inlineStr">
        <is>
          <t>新媒体, 体验媒体</t>
        </is>
      </c>
      <c r="M9" t="inlineStr">
        <is>
          <t>社交媒体, 线下活动</t>
        </is>
      </c>
      <c r="N9" t="inlineStr">
        <is>
          <t>微博, 小红书, 朋友圈</t>
        </is>
      </c>
      <c r="O9" t="inlineStr">
        <is>
          <t>[宣传形式]预热宣传海报[推广平台]微博、小红书、朋友圈[宣传周期]活动前3-4周[宣传内容]定制活动主题海报，以柿子橙色系为主色调结合秋季特色融入活动元素设计海报。在活动开始前一周的宣传期。在营销中心前广场现场制作网红柿子桶。转发活动海报即可免费领取，为活动持续造势。定制预热话题#收集秋日好柿光#分享带有活动话题的图文/视频并附有活动信息，即可参与活动抽奖。邀请抖音UP主在活动现场拍摄预热短视频，通过短视频的场景呈现，更直观的向目标客群种草，提升活动热度。</t>
        </is>
      </c>
      <c r="P9" t="inlineStr">
        <is>
          <t>以“柿子”为切入点，结合秋日节点特色以及活动热点元素碰撞出秋日活动新玩法。把一大波“好柿”带给客户，这个十月总有“好柿”在发生！一场融合好看、好吃、好玩的秋季主题活动，为生活提供多一种选择！</t>
        </is>
      </c>
      <c r="Q9" t="inlineStr">
        <is>
          <t>01.好柿在发生：又是一年秋意浓，霜起柿子红。用100只柿子空降、巨型仿真柿子气模、柿不可挡小游戏等场景的打造，引发这个秋天的橙色浪潮，唤醒秋日活力！ 02.秋日喜柿集：这个秋天有好“柿”发生，这里有关于柿子的美食、周边、文创，还集合了各地网红美食，来03.围炉好柿光：一壶老白茶热气氤氲，炉上的烤柿子香甜软糯，围炉煮茶，谈笑生趣。轻煮岁月慢煮茶，把生活过的热气腾腾。 04.好柿研究所：秋天最浪漫的景色当属那满枝红澄澄的柿子了，这一道灼目的风景温暖着略显萧瑟的秋。用玩法各异的柿子手作将初秋的浪漫封存在指尖。</t>
        </is>
      </c>
      <c r="R9" t="inlineStr">
        <is>
          <t>1.成立活动项目组1.指定人员负责项目的沟通工作统筹。2.根据工作内容细化分项工作组。3.安排定期会议以及临时情况特殊会议沟通活动进度，确保活动顺利进行。2.场 地 搭 建 管 理1.明确活动场地的使用情况，包含电量负荷、提供电源的接口位置、走线位置等。2.活动开始前必须检查各种硬件设施保证活动顺利进行。3.彩排测试音响、灯光、大屏等活动设备。4.活 动 物 料 管 理1、所有活动所需的物料，提前一天放置到指定位置，指派专人进行看管2、派专人负责所有材料的运输与分发3、活动结束后，办理出场手续，及时拆除返库并登记归位到合理堆放状态5.活 动 培 训 管 理1.活动项目组相关人员同步活动进度，确保活动执行的一致性。2.活动执行各环节安排第一责任人，负责活动彩排、 走位，现场执行等工作。3.活动前对项目组人员进行标准化的培训。6.活 动 摄 像 管 理1.邀请专业的摄影师及摄像师到场2.专业设备及后期剪辑，保证效果3.对活动照片进行质量筛选，分类存档4.对活动素材整理剪辑为活动出Gai视频以及花絮视频，用于活动后期发酵。</t>
        </is>
      </c>
      <c r="S9"/>
      <c r="T9"/>
      <c r="U9"/>
      <c r="V9"/>
      <c r="W9"/>
      <c r="X9"/>
      <c r="Y9" s="3" t="str">
        <f>=HYPERLINK("https://scnymnlhceuf.feishu.cn/file/G3Tobo59toA4kXxzyCqcmQodnor", "2025商场地产秋日柿子市集“柿子熟透了”活动策划方案【秋季活动】.pdf")</f>
        <v>2025商场地产秋日柿子市集“柿子熟透了”活动策划方案【秋季活动】.pdf</v>
      </c>
      <c r="Z9"/>
    </row>
    <row r="10" ht="25.5" customHeight="1">
      <c r="A10" t="inlineStr">
        <is>
          <t>xx商场</t>
        </is>
      </c>
      <c r="B10" t="inlineStr">
        <is>
          <t>活动策划</t>
        </is>
      </c>
      <c r="C10" s="2"/>
      <c r="D10" t="inlineStr">
        <is>
          <t>大消费</t>
        </is>
      </c>
      <c r="E10" t="inlineStr">
        <is>
          <t>餐饮类</t>
        </is>
      </c>
      <c r="F10" t="inlineStr">
        <is>
          <t>2025</t>
        </is>
      </c>
      <c r="G10" t="inlineStr">
        <is>
          <t>活动营销公关</t>
        </is>
      </c>
      <c r="H10" t="inlineStr">
        <is>
          <t>认知类目标, 行为类目标</t>
        </is>
      </c>
      <c r="I10" t="inlineStr">
        <is>
          <t>品牌知名度提升, 销售促进, 用户参与/共创, 用户增长/留存</t>
        </is>
      </c>
      <c r="J10" t="inlineStr">
        <is>
          <t>1.结合秋季营销节点定制爆款活动，制造大量热点话题，提升项目热度，从而提升项目知名度。2.融合年轻化客群偏爱的活动元素，用形式丰富玩法多样的活动“拿捏”年轻人的喜好，增强目标客群粘性。3.借势活动热度，为营销中心聚集人气，进行销售转化。</t>
        </is>
      </c>
      <c r="K10" t="inlineStr">
        <is>
          <t>事件营销, 整合营销传播, 其他, 内容营销, KOL/KOC影响力营销</t>
        </is>
      </c>
      <c r="L10" t="inlineStr">
        <is>
          <t>新媒体, 传统媒体, 体验媒体</t>
        </is>
      </c>
      <c r="M10" t="inlineStr">
        <is>
          <t>社交媒体</t>
        </is>
      </c>
      <c r="N10" t="inlineStr">
        <is>
          <t>微博, 小红书, 抖音, bilibili, 快手, 朋友圈</t>
        </is>
      </c>
      <c r="O10" t="inlineStr">
        <is>
          <t>1.前期炒作(一周)：制造悬念 引发好奇——用宇航员出街的快闪形式释放活动信息制造悬念引发好奇 2.聚焦关注(三天)：倒计时——微信朋友圈发布海报倒计时并发出邀请参与登月计划潮玩中秋太空登月派对纸质邀请函 3. 后续宣传(活动后一天)：发布会后续宣传，唐沣生活值得被珍藏——Ø 传统媒体/朋友圈/微博/抖音等媒体手段进行报道宣传，持续热量输出</t>
        </is>
      </c>
      <c r="P10" t="inlineStr">
        <is>
          <t>中秋&amp;国庆双节同庆这要如何过？2025双节同庆赴一场星际银河之约共同探索星球奥秘登月入口即将开启这一次与你一起邂逅宇宙星空、探秘月球。1.巨型的发光宇航员在案场亮相，仿佛在问你招手形成IP打卡地，聚集中秋国庆双节流量2.它不仅是个可用于照明的灯，更可将你瞬间以宇航员的视角俯瞰宇宙里的每一颗星球非常的美丽与震撼在使用时，通过其独有的触摸感应设计，就可对星球进行控制3.格莱美/机械臂
让每一位莅临的嘉宾都有一次当“电影主角“杂志封面”的视觉震撼感</t>
        </is>
      </c>
      <c r="Q10" t="inlineStr">
        <is>
          <t>2025 年中秋国庆与双节同庆的形式呈现
 以时下年轻人喜爱的科幻、太空、科技氛围贯穿整场，并打造失重实验舱、时空竞速、撬动地球、奇幻时空、星球乐园、食空环游六大潮玩情景区域，设置丰富礼品，致敬年轻，致敬潮流，“燃爆”全城，HIGH 翻全场。太空门头
外场门头搭建，用桁架与异形太阳宇航员等元素输出呈现，
 营造登月计划的活动氛围，去感受太空的神奇魔力
气模宇航员
活动案场放置巨型的气模宇航员在案场亮相，形成 IP 打卡地，聚集中秋国庆双节流量
星球签到
科技与时尚元素结合的星球签到，在小小的旗帜上签上你的姓名，插入月球中，代表你已着落月球
探月历史
在活动案场放置探月历史展板，营造【登月计划】的活动仪式感，让嘉宾更加了解神秘的探月历史
星球主题墙
在活动的主入口放置登月主题背景板，营造【登月计划】的活动仪式感。吸引人群目光
失重实验舱
打造 3D 错位空间，180 度玩转空间，
 捕捉失重画面 3 米巨型涂鸦雕塑，直击外太空艺术！
撬动地球
给我一个支点我就能撬动整个地球，
 潮趣互动打卡 DP 点，一起去探索宇宙的神奇奥秘
宇航员 DP 点
彩虹的气模宇航员，时尚与创意的元素结合，营造出多巴效果的宇航员，让探月更加色彩化
宇航员 DP 点
宇航员与星空背景板呈现，时尚与创意的元素结合，营造出登月计划氛围，打卡拍摄
宇航员 DP 点
宇航员与异形火箭呈现并配合宇航服展示，营造【登月计划】的活动仪式感
HAPPY 夜晚亮化
 FLY TO THE MOON
发光玉兔
发光宇航员
巨型的发光宇航员在案场亮相，形成 IP 打卡地，聚集中秋国庆双节流量
发光宇航员
星球舞台
搭建异形的星球舞台，营造活动氛围，后续舞台上进行互动游戏
奇幻时空
它不仅是个可用于照明的灯，更可将你瞬间“带离”地球。
 以宇航员的视角俯瞰宇宙里的每一颗星球非常的美丽与震撼
 在使用时，通过其独有的触摸感应设计，就可对星球进行控制
格莱美 / 机械臂
嘉宾在拍摄区域摆设动作，机械臂运动轨迹，60s 后即可获取动态视频，操作简单，明星大片的感觉！
星空下观影
晚风拂过，在浪漫的月光下与家人一起观看电影，活在当下享受快乐
活动安排
 FLY TO THE MOON
扭转星球
星球乐园中设置扭转星球互动游戏，参与活动的来宾凭借邀请函扭动星球获取神秘星球礼物
星球实验室
星球乐园中为小朋友安排星球实验室，在这里与来自太空的宇航员一起完成科学实验，探索星球奥秘
星球实验室
儿童科学实验室
 （30 分钟一堂课 / 每天 2 堂课）
疯狂实验秀 实验现象
 1 超级空气炮 浮动烟圈
 2 火云掌 掌上火焰
 3 酸碱指示剂 溶液变色
 4 干冰大爆炸 仙气飘飘
互动实验环节 极寒之旅
干冰 物理性质 化学性质
 1 液体 变色
 2 干冰升华 液化 白气
 3 干冰 珍珠泡泡
 4 干冰泡泡龙
小丑互动
星球乐园中安排多种互动游戏，让孩子们在此释放天性，了解探索走进星球的奥秘
宇航员彩绘
星球乐园中安排宇航员彩绘活动，小朋友在此可尽情发挥色彩想象力，创作心目中的宇航员的样子
时空环游
星球乐园中安排美味茶歇，茶歇为精美的糕点及软饮，搭配星球预案的软性包装，体现活动品质
VR 体验仓
星球乐园中设置 VR 体验仓，使进入的人体验到一个完全不同的虚拟世界，让人身临其境地体验到在真实世界中所没有的感觉
时空竞速
在 #盲拍秒读# 与 #续航挑战中# 中，
 体验引体向上的新耐力，超越自己完成不可能！
格莱美 / 机械臂
嘉宾在拍摄区域摆设动作，机械臂运动轨迹，60s 后即可获取动态视频，操作简单，明星大片的感觉！
奇幻时空
它不仅是个可用于照明的灯，更可将你瞬间“带离”地球。
 以宇航员的视角俯瞰宇宙里的每一颗星球非常的美丽与震撼
 在使用时，通过其独有的触摸感应设计，就可对星球进行控制</t>
        </is>
      </c>
      <c r="R10" t="inlineStr">
        <is>
          <t>1.成立活动项目组1.指定人员负责项目的沟通工作统筹。2.根据工作内容细化分项工作组。3.安排定期会议以及临时情况特殊会议沟通活动进度，确保活动顺利进行。2.场 地 搭 建 管 理1.明确活动场地的使用情况，包含电量负荷、提供电源的接口位置、走线位置等。2.活动开始前必须检查各种硬件设施保证活动顺利进行。3.彩排测试音响、灯光、大屏等活动设备。4.活 动 物 料 管 理1、所有活动所需的物料，提前一天放置到指定位置，指派专人进行看管2、派专人负责所有材料的运输与分发3、活动结束后，办理出场手续，及时拆除返库并登记归位到合理堆放状态5.活 动 培 训 管 理1.活动项目组相关人员同步活动进度，确保活动执行的一致性。2.活动执行各环节安排第一责任人，负责活动彩排、 走位，现场执行等工作。3.活动前对项目组人员进行标准化的培训。6.活 动 摄 像 管 理1.邀请专业的摄影师及摄像师到场2.专业设备及后期剪辑，保证效果3.对活动照片进行质量筛选，分类存档4.对活动素材整理剪辑为活动出Gai视频以及花絮视频，用于活动后期发酵。</t>
        </is>
      </c>
      <c r="S10"/>
      <c r="T10"/>
      <c r="U10"/>
      <c r="V10"/>
      <c r="W10"/>
      <c r="X10"/>
      <c r="Y10" s="3" t="str">
        <f>=HYPERLINK("https://scnymnlhceuf.feishu.cn/file/MmGIbC8P8oVlYVx60mmc1nrHnfb", "2025商场地产中秋国庆太空登月派对“城市追月计划”主题活动策划方案【中秋活动】【国庆活动】.pdf")</f>
        <v>2025商场地产中秋国庆太空登月派对“城市追月计划”主题活动策划方案【中秋活动】【国庆活动】.pdf</v>
      </c>
      <c r="Z10"/>
    </row>
    <row r="11" ht="25.5" customHeight="1">
      <c r="A11" t="inlineStr">
        <is>
          <t>商业广场</t>
        </is>
      </c>
      <c r="B11" t="inlineStr">
        <is>
          <t>活动策划</t>
        </is>
      </c>
      <c r="C11" s="2"/>
      <c r="D11" t="inlineStr">
        <is>
          <t>大消费</t>
        </is>
      </c>
      <c r="E11" t="inlineStr">
        <is>
          <t>餐饮类</t>
        </is>
      </c>
      <c r="F11" t="inlineStr">
        <is>
          <t>2025</t>
        </is>
      </c>
      <c r="G11" t="inlineStr">
        <is>
          <t>活动营销公关</t>
        </is>
      </c>
      <c r="H11" t="inlineStr">
        <is>
          <t>认知类目标, 行为类目标</t>
        </is>
      </c>
      <c r="I11" t="inlineStr">
        <is>
          <t>品牌知名度提升, 销售促进, 用户参与/共创, 用户增长/留存</t>
        </is>
      </c>
      <c r="J11" t="inlineStr">
        <is>
          <t>1.制造人气
通过此次活动吸引周边市民前来参与，为林里街制造人气。加深消费者对林里街的记忆，为后续蓄客引流。
2.树立品牌形象
通过活动树立林里街亲民新形象，吸引符合街区定位的目标消费者。
增加知名度
3. 通过活动辐射周边的消费者，增加商场曝光度，提升商场知名度。</t>
        </is>
      </c>
      <c r="K11" t="inlineStr">
        <is>
          <t>事件营销, 整合营销传播, 内容营销, KOL/KOC影响力营销</t>
        </is>
      </c>
      <c r="L11" t="inlineStr">
        <is>
          <t>新媒体, 体验媒体</t>
        </is>
      </c>
      <c r="M11" t="inlineStr">
        <is>
          <t>社交媒体, 线下活动</t>
        </is>
      </c>
      <c r="N11" t="inlineStr">
        <is>
          <t>朋友圈, 小红书, 参观游览</t>
        </is>
      </c>
      <c r="O11" t="inlineStr">
        <is>
          <t>H5 邀请函发布
定制「落日晚风·城市微醺」H5 邀请函，在公众号发布，来宾可填写信息报名，可获得免费入场券 1 张。
新媒体宣传
落日晚风微醺音乐节
1、微信朋友圈投放及倒计时海报；
 2、本地大 V 公众号平台发布会项目开街预告通稿；
 3、注册项目抖音蓝 V 号，持续发布前宣视频、优惠视频等；
 4、邀请本地生活抖音及小红书 KOL，利用网红账号平台进行信息发布；
话题宣传
Harbour Wind Market
【微醺生活节】
 超 chill 的场景布置
 落日余晖 氛围加满
 出片胜地，拍照拍到手软
中秋国庆八天长假
 来武汉银泰创意城
 和好友坐在一起，伴随晚风与落日
 在此刻，享受微醺后幸福
#微醺时刻 #微醺生活节 #银泰创意城
【快乐标配】
 什么是快乐的标配？
 白日咖啡夜晚美酒
 现场还有一群小哥哥小姐姐可以交朋友
 还在等什么
 赶紧来武汉银泰创意城
 养精蓄锐，把酒倒满！
#快乐喝酒 #微醺生活节 #银泰创意城</t>
        </is>
      </c>
      <c r="P11" t="inlineStr">
        <is>
          <t>“落日之约 如乐而至”
日落弥漫的橘，爱如晚霞~
落日会变化出不同的颜色和形状，云也被染成粉色、橙色、红色、紫色，蓝调渐变色的天空一点点变暗。
每一具看见落日的疲惫的身体，在天空中霞霭的笼罩下，能够感到一种广大的、浪漫主义的、充满安全感的力量。
那些美好的瞬间，仿佛都化作了音符，刻在我心里。每当夜幕降临，想起那晚的落日晚风微醺音乐节，每当听到熟悉的旋律，想起那热烈的氛围和无拘无束的感觉。</t>
        </is>
      </c>
      <c r="Q11" t="inlineStr">
        <is>
          <t>微醺市集、主题门头、打卡DP点、地标打卡点、外场舞台、天幕摊位、微醺酒馆、集市驿站、落日烛光音乐会、中秋音乐会（现场微信摇一摇抽奖）、9周年生日庆典、二次元嘉年华、潮流街舞秀、萌星人派对/喵星人派对、奇十妙享漫游记游园会(中秋&amp;国庆游园会）、人偶互动</t>
        </is>
      </c>
      <c r="R11" t="inlineStr">
        <is>
          <t>1.成立活动项目组1.指定人员负责项目的沟通工作统筹。2.根据工作内容细化分项工作组。3.安排定期会议以及临时情况特殊会议沟通活动进度，确保活动顺利进行。2.场 地 搭 建 管 理1.明确活动场地的使用情况，包含电量负荷、提供电源的接口位置、走线位置等。2.活动开始前必须检查各种硬件设施保证活动顺利进行。3.彩排测试音响、灯光、大屏等活动设备。4.活 动 物 料 管 理1、所有活动所需的物料，提前一天放置到指定位置，指派专人进行看管2、派专人负责所有材料的运输与分发3、活动结束后，办理出场手续，及时拆除返库并登记归位到合理堆放状态5.活 动 培 训 管 理1.活动项目组相关人员同步活动进度，确保活动执行的一致性。2.活动执行各环节安排第一责任人，负责活动彩排、 走位，现场执行等工作。3.活动前对项目组人员进行标准化的培训。6.活 动 摄 像 管 理1.邀请专业的摄影师及摄像师到场2.专业设备及后期剪辑，保证效果3.对活动照片进行质量筛选，分类存档4.对活动素材整理剪辑为活动出Gai视频以及花絮视频，用于活动后期发酵。</t>
        </is>
      </c>
      <c r="S11"/>
      <c r="T11"/>
      <c r="U11"/>
      <c r="V11"/>
      <c r="W11"/>
      <c r="X11"/>
      <c r="Y11" s="3" t="str">
        <f>=HYPERLINK("https://scnymnlhceuf.feishu.cn/file/CJWrbcNzMovnw6xUom1cp3eXn7g", "2025商业广场中秋国庆落日微醺音乐节“夜行微醺”活动策划方案【双节活动】.pdf")</f>
        <v>2025商业广场中秋国庆落日微醺音乐节“夜行微醺”活动策划方案【双节活动】.pdf</v>
      </c>
      <c r="Z11"/>
    </row>
    <row r="12" ht="25.5" customHeight="1">
      <c r="A12" t="inlineStr">
        <is>
          <t>金龙鱼（益海嘉里旗下品牌）</t>
        </is>
      </c>
      <c r="B12" t="inlineStr">
        <is>
          <t>活动策划</t>
        </is>
      </c>
      <c r="C12" s="2"/>
      <c r="D12" t="inlineStr">
        <is>
          <t>大消费</t>
        </is>
      </c>
      <c r="E12" t="inlineStr">
        <is>
          <t>餐饮类</t>
        </is>
      </c>
      <c r="F12" t="inlineStr">
        <is>
          <t>2025</t>
        </is>
      </c>
      <c r="G12" t="inlineStr">
        <is>
          <t>产品发布公关, 活动营销公关, 品牌公关</t>
        </is>
      </c>
      <c r="H12" t="inlineStr">
        <is>
          <t>认知类目标, 行为类目标, 关系类目标</t>
        </is>
      </c>
      <c r="I12" t="inlineStr">
        <is>
          <t>销售促进, 品牌知名度提升</t>
        </is>
      </c>
      <c r="J12" t="inlineStr">
        <is>
          <t>1.市场背景：中秋时节是福利团购渠道关键节点，面粉品类存在增长机遇
2.竞争态势：需通过差异化营销突破同质化竞争
3.用户洞察：渠道商关注产品卖点与营销支持，消费者注重节日情感联结
4.核心挑战：将传统订货会升级为有主题性、故事感的营销事件</t>
        </is>
      </c>
      <c r="K12" t="inlineStr">
        <is>
          <t>内容营销, 事件营销, 整合营销传播, 其他</t>
        </is>
      </c>
      <c r="L12" t="inlineStr">
        <is>
          <t>体验媒体, 新媒体</t>
        </is>
      </c>
      <c r="M12" t="inlineStr">
        <is>
          <t>社交媒体, 直播平台, 线下活动</t>
        </is>
      </c>
      <c r="N12" t="inlineStr">
        <is>
          <t>微信小程序直播, 参观游览, 朋友圈</t>
        </is>
      </c>
      <c r="O12" t="inlineStr">
        <is>
          <t>预热期：通过节气主题倒计时海报营造期待感
活动期：线下创意签到（卷轴提笔签到）、国风表演（河北非遗休门吹歌）
互动设计：串场视频结合产品演示（春卷、长寿面、月饼、饺子制作）
线上联动：直播间口令抽奖（如春分诗句互动）
后期传播：朋友圈九宫格图片+15秒短视频持续造势</t>
        </is>
      </c>
      <c r="P12" t="inlineStr">
        <is>
          <t>"四季×四喜"主题：将春分、夏至、中秋、冬至四大节气与人生四喜结合
国风沉浸体验：领导身着四季服饰致辞，非遗表演（河北梆子戏）融入
场景化产品演示：通过节气美食（春卷、长寿面、月饼、饺子）自然展示产品功能
互动订货创新："吃长寿面滚动抽奖"等游戏化设计激发订货热情
线上线下融合：线下活动同步直播，扩大覆盖面</t>
        </is>
      </c>
      <c r="Q12" t="inlineStr">
        <is>
          <t>14:00-14:30 创意签到：卷轴提笔签到，领取四喜香囊
14:30-14:35 开场表演：《应四季·奏四喜》非遗吹歌+国风舞蹈
14:35-14:45 领导致辞：四位领导分着四季服饰登场，以对联形式致辞
14:45-16:30 四喜环节：
春分·孩提喜：春卷制作视频+诗句抽奖
夏至·生辰喜：长寿面互动品尝+订货抽奖
中秋·故知喜：月饼制作品鉴+现场订货
冬至·归家喜：饺子展示+国风走秀
16:30-16:50 收官环节：战绩公布、合影留念</t>
        </is>
      </c>
      <c r="R12" t="inlineStr">
        <is>
          <t>时间：2025年7月15日14:00-16:50
地点：石家庄高新假日酒店
规模：110人线下+线上直播
资源投入：非遗表演团队、云摄影服务、定制礼品（茅台、茶叶等）
特色安排：国风场景布置、节气主题串场视频、互动订货环节</t>
        </is>
      </c>
      <c r="S12" t="inlineStr">
        <is>
          <t>设备故障：备用电源电缆、三重音频线路、备用话筒及电池
人员保障：演职人员提前3小时彩排，专人管理
嘉宾变动：提前3天确认名单，准备备选方案
活动改期：专人通知特邀领导，短信通知其他嘉宾
突发停电：备用发电设备保障活动进行</t>
        </is>
      </c>
      <c r="T12"/>
      <c r="U12"/>
      <c r="V12"/>
      <c r="W12"/>
      <c r="X12"/>
      <c r="Y12" s="3" t="str">
        <f>=HYPERLINK("https://scnymnlhceuf.feishu.cn/file/XZsVbBypHoZmb5xWUMScrjccnOd", "2025食品粮油品牌中秋话团圆暨中秋国风订货会活动方案【粮油中秋订货会】【粮油订货会】.pdf")</f>
        <v>2025食品粮油品牌中秋话团圆暨中秋国风订货会活动方案【粮油中秋订货会】【粮油订货会】.pdf</v>
      </c>
      <c r="Z12"/>
    </row>
    <row r="13" ht="25.5" customHeight="1">
      <c r="A13" t="inlineStr">
        <is>
          <t>文旅景区</t>
        </is>
      </c>
      <c r="B13" t="inlineStr">
        <is>
          <t>活动策划</t>
        </is>
      </c>
      <c r="C13" s="2"/>
      <c r="D13" t="inlineStr">
        <is>
          <t>大消费</t>
        </is>
      </c>
      <c r="E13" t="inlineStr">
        <is>
          <t>旅游</t>
        </is>
      </c>
      <c r="F13" t="inlineStr">
        <is>
          <t>2025</t>
        </is>
      </c>
      <c r="G13" t="inlineStr">
        <is>
          <t>活动营销公关</t>
        </is>
      </c>
      <c r="H13" t="inlineStr">
        <is>
          <t>认知类目标, 行为类目标, 关系类目标</t>
        </is>
      </c>
      <c r="I13" t="inlineStr">
        <is>
          <t>用户参与/共创, 信息传播与教育, 社区/公众关系, 销售促进, 品牌知名度提升</t>
        </is>
      </c>
      <c r="J13" t="inlineStr">
        <is>
          <t>市场背景：中秋国庆双节是重要的消费节点，国风文化受到年轻群体追捧
活动定位：打造"一梦千年盛唐有戏"国潮盛宴，还原唐都盛景
核心挑战：在众多节日活动中实现差异化，真正吸引市民参与
预期效果：通过沉浸式体验让市民感受汉唐盛世，提升品牌美誉度</t>
        </is>
      </c>
      <c r="K13" t="inlineStr">
        <is>
          <t>事件营销, 整合营销传播, 内容营销, IP联名</t>
        </is>
      </c>
      <c r="L13" t="inlineStr">
        <is>
          <t>体验媒体, 新媒体, 传统媒体</t>
        </is>
      </c>
      <c r="M13" t="inlineStr">
        <is>
          <t>线下活动, 社交媒体, 广播电视媒体</t>
        </is>
      </c>
      <c r="N13" t="inlineStr">
        <is>
          <t>省级媒体, 朋友圈, 参观游览</t>
        </is>
      </c>
      <c r="O13" t="inlineStr">
        <is>
          <t>场景化布展：通过国风门头、花灯长廊等元素营造盛唐氛围
互动体验：设置古风集市、非遗手作等互动区域，增强参与感
表演活动：安排国风舞蹈、明星演唱会等精彩节目
打卡营销：设置多个拍照打卡点，促进社交分享</t>
        </is>
      </c>
      <c r="P13" t="inlineStr">
        <is>
          <t>"盛世大唐"主题还原：通过建筑、灯光、装饰等全方位还原唐都盛景
"五维一体"活动设置：从盛世大唐、中秋灯会、古风集市、国风大赏到国潮演唱会，层层递进
非遗文化融合：将活字印刷、传统灯笼等非遗技艺融入现代活动
明星阵容加持：邀请黑豹乐队、陈楚生、周传雄等明星参与
沉浸式体验设计：通过镜花水月舞蹈、玉兔造景等打造梦幻场景</t>
        </is>
      </c>
      <c r="Q13" t="inlineStr">
        <is>
          <t>场景布展环节：
国风门头：融合唐汉坊门建筑元素
花灯长廊：打造流光溢彩的盛唐夜景
丝绸之路造景：以剪影形式展示文化打卡点
文化体验环节：
古风集市：设置文创手作、美食等摊位
非遗展示：活字印刷等传统技艺体验
互动游戏：烛光月影等市井小游戏
表演活动环节：
国风大赏：华服走秀、舞蹈快闪
明星演唱会：流行与摇滚音乐表演
烟花盛宴：压轴视觉盛宴</t>
        </is>
      </c>
      <c r="R13" t="inlineStr">
        <is>
          <t>活动规模：大型户外主题灯会，预计吸引大量市民参与
场地要求：需要足够空间布置多个主题区域和表演场地
资源投入：大型灯组搭建、明星阵容、专业表演团队
时间规划：中秋国庆期间，持续多日活动
特色亮点：融合传统文化与现代娱乐，打造沉浸式体验</t>
        </is>
      </c>
      <c r="S13"/>
      <c r="T13"/>
      <c r="U13"/>
      <c r="V13"/>
      <c r="W13"/>
      <c r="X13"/>
      <c r="Y13" s="3" t="str">
        <f>=HYPERLINK("https://scnymnlhceuf.feishu.cn/file/LCVKbFrrno2CNCxyekKcz2wnnYc", "2025文旅景区迎中秋庆国庆主题灯会暨“当潮不让国风大赏”活动策划方案【中秋活动】【国庆活动】.pdf")</f>
        <v>2025文旅景区迎中秋庆国庆主题灯会暨“当潮不让国风大赏”活动策划方案【中秋活动】【国庆活动】.pdf</v>
      </c>
      <c r="Z13"/>
    </row>
    <row r="14" ht="25.5" customHeight="1">
      <c r="A14" t="inlineStr">
        <is>
          <t xml:space="preserve"> 某文旅景区/地产项目</t>
        </is>
      </c>
      <c r="B14" t="inlineStr">
        <is>
          <t>活动策划</t>
        </is>
      </c>
      <c r="C14" s="2"/>
      <c r="D14" t="inlineStr">
        <is>
          <t>大消费</t>
        </is>
      </c>
      <c r="E14" t="inlineStr">
        <is>
          <t>旅游</t>
        </is>
      </c>
      <c r="F14" t="inlineStr">
        <is>
          <t>2025</t>
        </is>
      </c>
      <c r="G14" t="inlineStr">
        <is>
          <t>活动营销公关, 品牌公关</t>
        </is>
      </c>
      <c r="H14" t="inlineStr">
        <is>
          <t>认知类目标, 行为类目标, 关系类目标</t>
        </is>
      </c>
      <c r="I14" t="inlineStr">
        <is>
          <t>用户参与/共创, 用户增长/留存, 品牌知名度提升, 销售促进, 社区/公众关系</t>
        </is>
      </c>
      <c r="J14" t="inlineStr">
        <is>
          <t>市场定位：针对久居城市的消费者，提供"随时生活的自然山野享受"
核心诉求：满足都市人群对自然、休闲、文化体验的渴求
活动特色：分季主题策划（丰收节、艺术节、中国年），持续吸引参与
预期效果：通过沉浸式山野体验，让参与者"去山谷里，做自己"</t>
        </is>
      </c>
      <c r="K14" t="inlineStr">
        <is>
          <t>内容营销, 整合营销传播, 事件营销</t>
        </is>
      </c>
      <c r="L14" t="inlineStr">
        <is>
          <t>体验媒体, 新媒体</t>
        </is>
      </c>
      <c r="M14" t="inlineStr">
        <is>
          <t>线下活动, 社交媒体</t>
        </is>
      </c>
      <c r="N14" t="inlineStr">
        <is>
          <t>朋友圈, 参观游览</t>
        </is>
      </c>
      <c r="O14" t="inlineStr">
        <is>
          <t>互动获客：来访扫码关注登记并转发朋友圈，可获得参与体验券
体验转化：凭券参与手作、互动游戏及礼品兑换
内容传播：通过朋友圈分享实现社交裂变
现场引流：设置三大固定展位（特产、文创、园艺市集）促进消费</t>
        </is>
      </c>
      <c r="P14" t="inlineStr">
        <is>
          <t>分季主题策划：
第一季：山野丰收节（稻花香、秋之景、果之味、蔬之味、山珍味）
第二季：野趣艺术节（音乐、书香、非遗、古琴）
第三季：美好小镇中国年（年味市集、团圆元宵）
互动体验设计：
手作体验：稻草人、干花造纸、尤克里里制作等
游戏互动：套南瓜、夹水果、投壶等传统游戏
美食体验：糖炒栗子、冰糖葫芦等山野美食
文化融合创新：
非遗技艺：扎染、竹编、提线木偶等展示
传统游戏：木射、投壶等古风游戏现代演绎
民俗节庆：结合中秋、元宵等传统节日</t>
        </is>
      </c>
      <c r="Q14" t="inlineStr">
        <is>
          <t>丰收节系列：
稻田稻草人艺术手作
趣味套南瓜大赛
山野磨豆浆趣味互动
五大主题市集（稻香、秋景、果园、蔬园、山珍）
艺术节系列：
慢生活尤克里里手作
非遗扎染手作
古琴茶百戏体验
书香干花造纸手作
中国年系列：
舞狮贺岁乐高手作
团圆猜灯谜趣味互动
年货市集、幸福剪纸市集</t>
        </is>
      </c>
      <c r="R14" t="inlineStr">
        <is>
          <t>团队架构：
项目总监：质量把控与协调
策划团队：活动创意与执行
设计团队：视觉设计表现
执行团队：现场流程管理
质量把控：
商业顾问责任制全程跟踪
物料出品严格验收
协力厂商资源精选管理
时间规划：分三季持续开展，每季设置多个子活动</t>
        </is>
      </c>
      <c r="S14" t="inlineStr">
        <is>
          <t>电力预案：备用发电机应对突发停电
安全预案：专人疏导人流，设置安全通道
疫情预案：测温、消毒、佩戴口罩等防控措施
火灾预案：明确疏散路线和初期消防措施
场控预案：工作人员配证上岗，对讲机联络</t>
        </is>
      </c>
      <c r="T14"/>
      <c r="U14"/>
      <c r="V14"/>
      <c r="W14"/>
      <c r="X14"/>
      <c r="Y14" s="3" t="str">
        <f>=HYPERLINK("https://scnymnlhceuf.feishu.cn/file/W3eqbuRWjou1x9x55PLcopocnVg", "2025文旅项目秋季山野趣时光体验节“撒欢山野趣享时光”主题活动策划方案【秋季活动】【拾秋活动】.pdf")</f>
        <v>2025文旅项目秋季山野趣时光体验节“撒欢山野趣享时光”主题活动策划方案【秋季活动】【拾秋活动】.pdf</v>
      </c>
      <c r="Z14"/>
    </row>
    <row r="15" ht="25.5" customHeight="1">
      <c r="A15" t="inlineStr">
        <is>
          <t>某文旅项目/品牌</t>
        </is>
      </c>
      <c r="B15" t="inlineStr">
        <is>
          <t>活动策划</t>
        </is>
      </c>
      <c r="C15" s="2"/>
      <c r="D15" t="inlineStr">
        <is>
          <t>大消费</t>
        </is>
      </c>
      <c r="E15" t="inlineStr">
        <is>
          <t>旅游</t>
        </is>
      </c>
      <c r="F15" t="inlineStr">
        <is>
          <t>2025</t>
        </is>
      </c>
      <c r="G15" t="inlineStr">
        <is>
          <t>活动营销公关, 品牌公关, 文化公关</t>
        </is>
      </c>
      <c r="H15" t="inlineStr">
        <is>
          <t>认知类目标, 行为类目标, 关系类目标</t>
        </is>
      </c>
      <c r="I15" t="inlineStr">
        <is>
          <t>品牌知名度提升, 用户参与/共创, 信息传播与教育, 销售促进</t>
        </is>
      </c>
      <c r="J15" t="inlineStr">
        <is>
          <t>市场定位：针对追求品质生活、喜爱传统文化的中高端客群
核心诉求：满足都市人群对传统节日仪式感和休闲体验的双重需求
活动特色：将传统中秋元素与现代露营生活方式相结合
预期效果：通过"围炉茶会+露营体验"的创新形式，打造差异化中秋活动</t>
        </is>
      </c>
      <c r="K15" t="inlineStr">
        <is>
          <t>内容营销, 场景营销, 整合营销传播</t>
        </is>
      </c>
      <c r="L15" t="inlineStr">
        <is>
          <t>体验媒体, 新媒体</t>
        </is>
      </c>
      <c r="M15" t="inlineStr">
        <is>
          <t>社交媒体, 线下活动</t>
        </is>
      </c>
      <c r="N15" t="inlineStr">
        <is>
          <t>朋友圈, 参观游览</t>
        </is>
      </c>
      <c r="O15" t="inlineStr">
        <is>
          <t>预热期：通过H5倒计时进行活动预热，营造期待氛围
活动期：线下沉浸式体验结合线上实时分享
互动设计：设置打卡点促进社交传播
内容沉淀：通过摄影摄像记录活动精彩瞬间</t>
        </is>
      </c>
      <c r="P15" t="inlineStr">
        <is>
          <t>传统与现代融合：将中秋传统文化与时尚露营生活方式创新结合
多维体验设计：打造"围炉茶会+音乐会+手作体验+美食市集"的复合型活动
场景化营造：通过灯光、音乐、装饰等元素营造中秋氛围
互动环节创新：设置花灯手作、团扇制作等传统文化体验项目</t>
        </is>
      </c>
      <c r="Q15" t="inlineStr">
        <is>
          <t>核心体验环节：
围炉煮茶：提供烤奶、煮茶、烤柿子等传统茶点
落日音乐会：在夕阳下享受音乐表演
花灯手作：制作传统中秋花灯
团扇制作：体验传统手工艺品制作
特色活动内容：
中秋集市：提供特色美食和文创产品
篝火晚会：营造温馨浪漫的夜间氛围
月光放映厅：在月光下观赏特色影片
互动游戏：设置"月有灵犀"猜题等互动环节
美食体验部分：
网红美食：提供烤全羊等特色美食
传统茶点：准备月饼、柿子等应节食品
特色饮品：围炉煮茶相关茶饮</t>
        </is>
      </c>
      <c r="R15" t="inlineStr">
        <is>
          <t>场地要求：需要具备露营条件的户外场地，能容纳多项活动同时进行
时间安排：从中秋节前开始预热，节日期间接续举办
资源投入：需要茶艺师、手工艺人、音乐表演等专业团队
特色亮点：将传统中秋元素以现代化、时尚化的方式呈现</t>
        </is>
      </c>
      <c r="S15"/>
      <c r="T15"/>
      <c r="U15"/>
      <c r="V15"/>
      <c r="W15"/>
      <c r="X15"/>
      <c r="Y15" s="3" t="str">
        <f>=HYPERLINK("https://scnymnlhceuf.feishu.cn/file/Zo6oboLzVoCUuSxbUgPcabETn7g", "2025营地景区中秋节围炉茶话会“中秋围炉茶事”主题活动策划方案【中秋活动】.pdf")</f>
        <v>2025营地景区中秋节围炉茶话会“中秋围炉茶事”主题活动策划方案【中秋活动】.pdf</v>
      </c>
      <c r="Z15"/>
    </row>
    <row r="16" ht="25.5" customHeight="1">
      <c r="A16" t="inlineStr">
        <is>
          <t>某文旅项目/露营活动主办方</t>
        </is>
      </c>
      <c r="B16" t="inlineStr">
        <is>
          <t>活动策划</t>
        </is>
      </c>
      <c r="C16" s="2"/>
      <c r="D16" t="inlineStr">
        <is>
          <t>大消费</t>
        </is>
      </c>
      <c r="E16" t="inlineStr">
        <is>
          <t>旅游</t>
        </is>
      </c>
      <c r="F16" t="inlineStr">
        <is>
          <t>2025</t>
        </is>
      </c>
      <c r="G16" t="inlineStr">
        <is>
          <t>活动营销公关, 品牌公关, 文化公关</t>
        </is>
      </c>
      <c r="H16" t="inlineStr">
        <is>
          <t>认知类目标, 行为类目标, 关系类目标</t>
        </is>
      </c>
      <c r="I16" t="inlineStr">
        <is>
          <t>品牌知名度提升, 信息传播与教育</t>
        </is>
      </c>
      <c r="J16" t="inlineStr">
        <is>
          <t>市场背景：中秋国庆长假是旅游消费高峰，都市人群渴望逃离城市喧嚣
用户洞察：目标客群为年轻家庭、户外爱好者，追求自然体验和社交互动
核心挑战：在众多假期活动中脱颖而出，提供差异化体验
预期效果：通过"露营+中秋"创新组合，打造独特节日体验</t>
        </is>
      </c>
      <c r="K16" t="inlineStr">
        <is>
          <t>事件营销, 整合营销传播, 内容营销</t>
        </is>
      </c>
      <c r="L16" t="inlineStr">
        <is>
          <t>新媒体, 体验媒体</t>
        </is>
      </c>
      <c r="M16" t="inlineStr">
        <is>
          <t>社交媒体, 线下活动, 短视频平台</t>
        </is>
      </c>
      <c r="N16" t="inlineStr">
        <is>
          <t>朋友圈, 微博, 参观游览</t>
        </is>
      </c>
      <c r="O16" t="inlineStr">
        <is>
          <t>H5互动预热：制作"中秋星空露营计划"主题H5，通过高校社群、潮流社群投放
短视频宣传：拍摄带话题的短视频在抖音、微博等平台发布
打卡互动：设置网红拍照打卡区，鼓励参与者社交分享
礼品激励：转发朋友圈可获取定制礼物，促进传播</t>
        </is>
      </c>
      <c r="P16" t="inlineStr">
        <is>
          <t>多区域体验设计：设置拍照打卡、文创市集、猜灯谜、萌宠互动等八大功能区域
传统与现代融合：将中秋传统元素（猜灯谜）与现代露营生活结合
全天候活动安排：从下午到晚上的完整活动流程设计
互动体验创新：如秘密花园彩绘、许愿树等特色环节</t>
        </is>
      </c>
      <c r="Q16" t="inlineStr">
        <is>
          <t>暖场阶段（14:00-14:30）：
开营签到，领取护照本
乐队暖场表演
小丑游园互动
闲逛流动摊位
游戏环节（14:30-15:30）：
中秋猜灯谜游戏
投壶传统游戏
古风射箭体验
飞盘、迷你足球等现代游戏
户外麻将娱乐
茶歇时光（15:30-16:00）：
提供传统糕点茶歇
营造休闲氛围
自由活动（16:00-18:00）：
山野烟火集市：传统小吃、咖啡铺、手工艺品
DIY体验：古风灯笼、手绘扇子制作
萌宠互动区
秘密花园彩绘
许愿树挂愿
晚间活动（18:00-21:30）：
BBQ烧烤派对
星空音乐会
篝火晚会
露天电影放映
烟花盛放</t>
        </is>
      </c>
      <c r="R16" t="inlineStr">
        <is>
          <t>活动时长：8天（10月1日-10月8日）
场地要求：大型户外场地，能容纳多项活动同时进行
资源投入：专业乐队、活动道具、食品供应、安保人员
特色亮点：将传统中秋习俗与现代露营生活方式创新结合</t>
        </is>
      </c>
      <c r="S16"/>
      <c r="T16"/>
      <c r="U16"/>
      <c r="V16"/>
      <c r="W16"/>
      <c r="X16"/>
      <c r="Y16" s="3" t="str">
        <f>=HYPERLINK("https://scnymnlhceuf.feishu.cn/file/Cs7AbRleWo4Elrxis7nc0Tqqn4g", "2025营地景区中秋遇国庆露营派对“星空露营计划”主题活动策划方案【国庆活动】【中秋活动】.pdf")</f>
        <v>2025营地景区中秋遇国庆露营派对“星空露营计划”主题活动策划方案【国庆活动】【中秋活动】.pdf</v>
      </c>
      <c r="Z16"/>
    </row>
    <row r="17" ht="25.5" customHeight="1">
      <c r="A17" t="inlineStr">
        <is>
          <t>永旺（AEON）</t>
        </is>
      </c>
      <c r="B17" t="inlineStr">
        <is>
          <t>活动策划</t>
        </is>
      </c>
      <c r="C17" s="2"/>
      <c r="D17" t="inlineStr">
        <is>
          <t>大消费</t>
        </is>
      </c>
      <c r="E17" t="inlineStr">
        <is>
          <t>餐饮类</t>
        </is>
      </c>
      <c r="F17" t="inlineStr">
        <is>
          <t>2025</t>
        </is>
      </c>
      <c r="G17" t="inlineStr">
        <is>
          <t>品牌公关, 活动营销公关, 产品发布公关</t>
        </is>
      </c>
      <c r="H17" t="inlineStr">
        <is>
          <t>认知类目标, 行为类目标, 关系类目标</t>
        </is>
      </c>
      <c r="I17" t="inlineStr">
        <is>
          <t>品牌知名度提升, 用户参与/共创, 销售促进, 用户增长/留存</t>
        </is>
      </c>
      <c r="J17" t="inlineStr">
        <is>
          <t>市场定位：针对年轻上班族群体，主打"咖啡续命，面包管饱"的生活理念
核心诉求：满足年轻人对休闲生活方式和社交体验的需求
活动特色：将面包与咖啡文化结合，打造轻松有趣的生活节
预期效果：通过谐音梗营销和互动体验，建立品牌年轻化形象</t>
        </is>
      </c>
      <c r="K17" t="inlineStr">
        <is>
          <t>KOL/KOC影响力营销, 整合营销传播</t>
        </is>
      </c>
      <c r="L17" t="inlineStr">
        <is>
          <t>新媒体, 传统媒体, 体验媒体</t>
        </is>
      </c>
      <c r="M17" t="inlineStr">
        <is>
          <t>社交媒体, 短视频平台, 线下活动</t>
        </is>
      </c>
      <c r="N17" t="inlineStr">
        <is>
          <t>小红书, 抖音, 微博, 朋友圈, 参观游览</t>
        </is>
      </c>
      <c r="O17" t="inlineStr">
        <is>
          <t>线上预热：通过H5互动页面进行活动预告
话题炒作：制造谐音梗话题在社交媒体发酵
KOL联动：邀请美食、生活方式类达人现场打卡
免费体验：1000份咖啡面包套餐免费赠送引流
线下互动：设置多个打卡点和互动游戏增强参与感</t>
        </is>
      </c>
      <c r="P17" t="inlineStr">
        <is>
          <t>谐音梗营销：打造#放啡自我#等系列话题，用轻松有趣的方式拉近与年轻人的距离
巨型美陈设计：设置超大面包造型气模、甜甜圈等打卡点，增强视觉冲击力
互动体验设计：包含烘焙课堂、咖啡课堂等教育性互动内容
游戏化参与：设计切面包挑战、面包大富翁等趣味游戏
场景化营造：通过"膨胀的舞台"等特色装置营造沉浸式体验</t>
        </is>
      </c>
      <c r="Q17" t="inlineStr">
        <is>
          <t>市集区域：
面包咖啡创意市集：多个品牌摊位展示
美式茶饮咖啡区：提供特色饮品体验
美食创意区：创新面包美食展示
互动体验区：
烘焙课堂：专业老师教授烘焙技巧
咖啡课堂：咖啡制作体验教学
LIVE音乐：现场音乐表演助兴
游戏互动区：
切面包挑战：计时切面包比赛
吃面包比赛：限时食用竞赛
套可颂花游戏：投掷圈圈赢取奖品
面包大富翁：大型棋盘游戏互动
乒乒乓乓拍面包：球类互动游戏</t>
        </is>
      </c>
      <c r="R17" t="inlineStr">
        <is>
          <t>场地布置：
门头设计：气模+结构造型，暖色系营造发酵膨胀感
导视系统：设置生活节地图，方便参与者游览
舞台设计：采用气模造型，增强趣味性
人员管理：
实施第一责任人制度，分级汇报
兼职人员需大专以上学历，通过面试考核
服务人员语言规范培训，使用请求式语气
现场服务：
24小时标准化服务
专业摄影摄像团队记录活动
设置多个功能区域分流人群</t>
        </is>
      </c>
      <c r="S17" t="inlineStr">
        <is>
          <t>人员管理：
所有人员经过严格面试和培训
制定考核条例保证服务质量
提供48小时核酸报告要求（根据疫情情况）
服务标准：
建立三层次沟通体系
实行双向承诺工作流管理
确保信息顺畅传达
品质控制：
100分品质管理标准
专业培训确保服务水平
建立激情敬业的团队文化</t>
        </is>
      </c>
      <c r="T17"/>
      <c r="U17"/>
      <c r="V17"/>
      <c r="W17"/>
      <c r="X17"/>
      <c r="Y17" s="3" t="str">
        <f>=HYPERLINK("https://scnymnlhceuf.feishu.cn/file/RebabAApJoruMCxDezncMHzcnKd", "2025永旺商超十一国庆节碳水漫游面包生活节活动方案.pdf")</f>
        <v>2025永旺商超十一国庆节碳水漫游面包生活节活动方案.pdf</v>
      </c>
      <c r="Z17"/>
    </row>
    <row r="18" ht="25.5" customHeight="1">
      <c r="A18" t="inlineStr">
        <is>
          <t>小皮</t>
        </is>
      </c>
      <c r="B18" t="inlineStr">
        <is>
          <t>整合营销</t>
        </is>
      </c>
      <c r="C18" s="2"/>
      <c r="D18" t="inlineStr">
        <is>
          <t>大消费</t>
        </is>
      </c>
      <c r="E18" t="inlineStr">
        <is>
          <t>乳制品与婴幼儿食品</t>
        </is>
      </c>
      <c r="F18" t="inlineStr">
        <is>
          <t>2022</t>
        </is>
      </c>
      <c r="G18" t="inlineStr">
        <is>
          <t>品牌公关</t>
        </is>
      </c>
      <c r="H18" t="inlineStr">
        <is>
          <t>认知类目标, 行为类目标</t>
        </is>
      </c>
      <c r="I18" t="inlineStr">
        <is>
          <t>品牌知名度提升, 销售促进, 信息传播与教育</t>
        </is>
      </c>
      <c r="J18" t="inlineStr">
        <is>
          <t>1.提升品牌知名度：通过媒介传播活动，提升小皮整体品牌及各类产品的认知度，目标覆盖泛母婴人群。
2.强化品类渗透：重点提升米粉、面条、辅食泥、辅食油、零食等品类在现有用户中的渗透率，以电商数据作为跟踪指标。
3.应对竞争环境：基于竞品分析，制定差异化传播策略，确保小皮在市场中保持领先地位。</t>
        </is>
      </c>
      <c r="K18" t="inlineStr">
        <is>
          <t>整合营销传播, 心智种草/口碑营销, IP联名, KOL/KOC影响力营销, 内容营销</t>
        </is>
      </c>
      <c r="L18" t="inlineStr">
        <is>
          <t>传统媒体, 新媒体</t>
        </is>
      </c>
      <c r="M18" t="inlineStr">
        <is>
          <t>搜索/信息流渠道, 社交媒体, 短视频平台, 内容平台, 广播电视媒体</t>
        </is>
      </c>
      <c r="N18" t="inlineStr">
        <is>
          <t>广告投放, 小红书, 抖音, bilibili, 微信视频号, 快手, 国家级媒体, 其他</t>
        </is>
      </c>
      <c r="O18" t="inlineStr">
        <is>
          <t>阶段一：蓄水期（内容铺垫）
宣传周期：4月1日-5月23日
推广平台：小红书、宝宝树、妈妈网
核心动作：以"分阶喂养"为核心概念，通过专家科普内容和KOC真实体验进行内容预埋
创意内容：打造"挑剔妈妈的选择"人设，输出分月龄辅食添加攻略和组合喂养方案
传播重点：建立专业可靠的品牌形象，为后续爆发期蓄积潜在用户
阶段二：爆发期（IP引爆）
宣传周期：5月24日-6月20日
推广平台：《爸爸当家》综艺IP、微博热搜、抖音信息流
核心动作：深度绑定《爸爸当家》节目资源，实现场景化植入和剧外联动
创意内容：通过明星嘉宾深度合作，打造"小皮=专业辅食"的品牌认知
传播重点：集中曝光提升品牌声量，借助618大促节点实现转化
阶段三：延续种草期（深度渗透）
宣传周期：6月21日-8月31日
推广平台：抖音、小红书、宝宝树研究院
核心动作：持续输出喂养知识和使用场景，强化品牌专业形象
创意内容：通过情景剧、亲子生活记录等形式，展示产品真实使用场景
传播重点：维持品牌热度，深化用户认知，促进持续转化
阶段四：效果转化期（数据驱动）
宣传周期：全程周期（4月-8月）
推广平台：各渠道协同投放
核心动作：建立完整的效果监测体系，实时优化投放策略
创意内容：根据数据反馈动态调整内容方向和资源分配
传播重点：确保各品类渗透率提升目标达成，实现品效合一</t>
        </is>
      </c>
      <c r="P18" t="inlineStr">
        <is>
          <t>1.IP整合创新：以综艺IP为中心，跨资源联动，运用明星嘉宾和节目情节进行深度内容植入。
2.内容策略升级：通过专家背书、KOL/KOC种草、用户互动等方式，输出“组合喂养”知识体系，强化专业形象。
3.数据驱动优化：依托HXP等分析工具，量化媒介目标，优化预算分配，提升传播效率。</t>
        </is>
      </c>
      <c r="Q18" t="inlineStr">
        <is>
          <t>1.传播阶段划分：蓄水期（4.1-5.23）→爆发期（5.24-6.20）→延续种草期（6.21-8.31）
2.综艺IP整合：以《爸爸当家》为中心跨资源整合传播，节目内植入+剧外使用，名人嘉宾深度合作形成强关联
3.社交平台内容：小红书打造"育儿百科"阵地，铺排组合喂养攻略；抖音通过情景剧和亲子生活记录传播
4.母婴垂媒合作：宝宝树辅食喂养研究院作为主阵地，通过专家/编辑/达人文章引流，定制互动话题
5.线下渠道联动：孩子王&amp;山姆店配合进行场景化体验活动</t>
        </is>
      </c>
      <c r="R18" t="inlineStr">
        <is>
          <t>1.时间规划：重点投放期5-6月（占总体预算71%），总体曝光量达4.83亿
2.预算分配：基于1,450万预算，方案一对目标达成更有效（品牌ABA预估累计提升到73%）
3.资源分配：综艺IP合作+硬广曝光（大曝光）+社交平台合作（种草）+母婴垂媒合作（精准）
4.效果预估：品牌ABA提升至73%+，米粉品类ABA达20%，西梅泥品类ABA达19%</t>
        </is>
      </c>
      <c r="S18"/>
      <c r="T18"/>
      <c r="U18"/>
      <c r="V18"/>
      <c r="W18"/>
      <c r="X18"/>
      <c r="Y18" s="3" t="str">
        <f>=HYPERLINK("https://scnymnlhceuf.feishu.cn/file/D23jbBVZDo3aafxHOCQcqYnjnsm", "小皮2022年4-8月媒介规划-0325-to client.pdf")</f>
        <v>小皮2022年4-8月媒介规划-0325-to client.pdf</v>
      </c>
      <c r="Z18"/>
    </row>
    <row r="19" ht="25.5" customHeight="1">
      <c r="A19" t="inlineStr">
        <is>
          <t>健力宝</t>
        </is>
      </c>
      <c r="B19" t="inlineStr">
        <is>
          <t>整合营销</t>
        </is>
      </c>
      <c r="C19" s="2"/>
      <c r="D19" t="inlineStr">
        <is>
          <t>大消费</t>
        </is>
      </c>
      <c r="E19" t="inlineStr">
        <is>
          <t>餐饮类</t>
        </is>
      </c>
      <c r="F19" t="inlineStr">
        <is>
          <t>2024</t>
        </is>
      </c>
      <c r="G19" t="inlineStr">
        <is>
          <t>品牌公关, 产品发布公关, 活动营销公关</t>
        </is>
      </c>
      <c r="H19" t="inlineStr">
        <is>
          <t>认知类目标, 行为类目标, 关系类目标</t>
        </is>
      </c>
      <c r="I19" t="inlineStr">
        <is>
          <t>品牌知名度提升, 新品发布认知, 销售促进, 用户参与/共创, 投资者/合作伙伴沟通</t>
        </is>
      </c>
      <c r="J19" t="inlineStr">
        <is>
          <t>C端消费者： 针对“合家欢家庭人群(15-60岁)”和“核心年轻人群(18-35岁)”，结合春节送礼、刷屏、出行、聚餐四大场景，有效促进消费需求。
B端渠道： 针对“经销商伙伴”和“批发零售客户”，提振信心，助力市场铺货和网点销售。
市场聚焦： 在有限预算下，聚焦冲销量的高潜力市场，优化传播效能</t>
        </is>
      </c>
      <c r="K19" t="inlineStr">
        <is>
          <t>事件营销, KOL/KOC影响力营销, 内容营销, 整合营销传播</t>
        </is>
      </c>
      <c r="L19" t="inlineStr">
        <is>
          <t>传统媒体, 新媒体, 体验媒体</t>
        </is>
      </c>
      <c r="M19" t="inlineStr">
        <is>
          <t>广播电视媒体, 社交媒体, 搜索/信息流渠道, 场景互动媒体, 线下活动</t>
        </is>
      </c>
      <c r="N19" t="inlineStr">
        <is>
          <t>省级媒体, 微博, 抖音, 广告投放, 小红书, 百度</t>
        </is>
      </c>
      <c r="O19" t="inlineStr">
        <is>
          <t>1.TVC广告跨屏投放：通过“电视+OTV”组合，高频次触达，优化有效到达率。
2.焦点化户外媒体曝光：在高铁站、乡镇中心等场景投放刷屏广告、高墙挂画，塑造品牌力。
3.社交互动与内容扩散：借势“送宝官”，在微信、抖音等平台发起话题，通过小程序互动、达人内容、UGC激发参与。
4.场景化合作引流：与在线餐饮平台合作上线专属活动页，结合线下门店，深入聚餐自饮场景。</t>
        </is>
      </c>
      <c r="P19" t="inlineStr">
        <is>
          <t>1.“送宝官”IP化沟通：将品牌祝福人格化，统一传播口径。
2.“焦点化媒体”策略：选择在特定场景中能成为视觉焦点的媒体，集中预算实现高频次曝光。
3.数据驱动的媒介规划：使用Frequency Planner、TARDIIS等工具进行跨屏到达率优化和预算科学分配。
4.社交裂变式互动：设计“AR接龙”等轻量游戏，结合优惠券激励，引导分享，实现品效合一。</t>
        </is>
      </c>
      <c r="Q19" t="inlineStr">
        <is>
          <t>1.内容主题：统一围绕“宝你新年好”等主题。
2.社交活动流程：首先，送宝官出演开年节目进行曝光；其次，节目外社交话题跟进，上线微信接龙小程序、抖音话题挑战，鼓励UGC；最后，通过优惠券引导消费转化。
3.线下试点活动：在太原市场，联动在线餐饮平台和合作门店，开展“健力宝过年聚餐送宝”活动。</t>
        </is>
      </c>
      <c r="R19" t="inlineStr">
        <is>
          <t>1.时间周期：2023年12月至2024年2月。
2.市场覆盖：聚焦广东、河南、山西等15+省份的30+城市，按市场级别分配资源。
3.媒介预算：总预算1880万元。新媒体（OTV+社媒/自媒体）占比最高（约55.5%）。
4.效果目标：追求有效频次3+以上的到达率，例如在山西市场设定3+到达率目标为25%-35%。</t>
        </is>
      </c>
      <c r="S19"/>
      <c r="T19"/>
      <c r="U19"/>
      <c r="V19"/>
      <c r="W19"/>
      <c r="X19"/>
      <c r="Y19" s="3" t="str">
        <f>=HYPERLINK("https://scnymnlhceuf.feishu.cn/file/XiMwbyYoMoT5vVxeMYRcwV56nie", "【汇报版】健力宝2024年春战媒介规划-1110.pdf")</f>
        <v>【汇报版】健力宝2024年春战媒介规划-1110.pdf</v>
      </c>
      <c r="Z19"/>
    </row>
    <row r="20" ht="25.5" customHeight="1">
      <c r="A20" t="inlineStr">
        <is>
          <t>小红书✖唯品会</t>
        </is>
      </c>
      <c r="B20" t="inlineStr">
        <is>
          <t>整合营销</t>
        </is>
      </c>
      <c r="C20" s="2"/>
      <c r="D20" t="inlineStr">
        <is>
          <t>科技与互联网</t>
        </is>
      </c>
      <c r="E20" t="inlineStr">
        <is>
          <t>社区、内容与互动媒体</t>
        </is>
      </c>
      <c r="F20" t="inlineStr">
        <is>
          <t>未知</t>
        </is>
      </c>
      <c r="G20" t="inlineStr">
        <is>
          <t>品牌公关</t>
        </is>
      </c>
      <c r="H20" t="inlineStr">
        <is>
          <t>行为类目标, 认知类目标</t>
        </is>
      </c>
      <c r="I20" t="inlineStr">
        <is>
          <t>销售促进, 品牌知名度提升, 用户参与/共创</t>
        </is>
      </c>
      <c r="J20" t="inlineStr">
        <is>
          <t>为品牌提供可度量的跨平台营销效果评估，打通“小红书种草”到“唯品会转化”的营销闭环。</t>
        </is>
      </c>
      <c r="K20" t="inlineStr">
        <is>
          <t>KOL/KOC影响力营销, 内容营销, 整合营销传播</t>
        </is>
      </c>
      <c r="L20" t="inlineStr">
        <is>
          <t>新媒体, 内部媒体</t>
        </is>
      </c>
      <c r="M20" t="inlineStr">
        <is>
          <t>内容平台, 社交媒体, 雇主品牌传播渠道</t>
        </is>
      </c>
      <c r="N20" t="inlineStr">
        <is>
          <t>小红书, 淘宝、唯品会、京东等电商平台</t>
        </is>
      </c>
      <c r="O20" t="inlineStr">
        <is>
          <t>1.博主种草：品牌通过小红书蒲公英平台下单博主，创作并发布定制化或招募类笔记。
2.数据归因追踪：笔记绑定唯品会跨域项目，系统追踪用户从阅读笔记到唯品会站内浏览、搜索、下单等全链路行为数据。
3.效果广告放大：品牌可根据数据反馈，在小红书聚光平台对表现优异的笔记进行投流，进一步放大价值。</t>
        </is>
      </c>
      <c r="P20" t="inlineStr">
        <is>
          <t>1.跨平台数据归因体系：项目核心创新在于建立了小红书与唯品会之间的数据桥梁，使“种草效果”变得可衡量、可优化。 
2.科学的营销闭环：形成“内容生产（蒲公英）-&gt; 效果评估（跨域数据）-&gt; 价值放大（聚光投流）”的完整数字化营销流程。</t>
        </is>
      </c>
      <c r="Q20" t="inlineStr">
        <is>
          <t>合作流程：
1.品牌方入驻唯品会平台并开通权限。
2.在小红书蒲公英平台创建与唯品会绑定的“跨域合作项目”，获取项目ID。
3.在蒲公英平台下单博主（仅支持1V1定制/招募订单），并关联项目ID。
4.博主发布笔记，T+1日后可在蒲公英、聚光及唯品会OTD后台查看跨域转化数据。
5.品牌根据数据，在聚光平台筛选优质笔记进行投流放大。</t>
        </is>
      </c>
      <c r="R20" t="inlineStr">
        <is>
          <t>1.招商要求：品牌需为唯品会商家，符合小红书营销分要求。蒲公英内容合作预算门槛为≥3万元。
2.操作平台：核心操作均通过小红书官方平台完成，包括蒲公英平台（博主下单、项目管理）和聚光平台（广告投流）。</t>
        </is>
      </c>
      <c r="S20"/>
      <c r="T20"/>
      <c r="U20"/>
      <c r="V20"/>
      <c r="W20"/>
      <c r="X20"/>
      <c r="Y20" s="3" t="str">
        <f>=HYPERLINK("https://scnymnlhceuf.feishu.cn/file/RUk9bketSoAsSUxGFVccQHFknOh", "【小红链】小红书X唯品会playbook.pdf")</f>
        <v>【小红链】小红书X唯品会playbook.pdf</v>
      </c>
      <c r="Z20"/>
    </row>
    <row r="21" ht="25.5" customHeight="1">
      <c r="A21" t="inlineStr">
        <is>
          <t>千百度花园餐厅</t>
        </is>
      </c>
      <c r="B21" t="inlineStr">
        <is>
          <t>整合营销</t>
        </is>
      </c>
      <c r="C21" s="2"/>
      <c r="D21" t="inlineStr">
        <is>
          <t>大消费</t>
        </is>
      </c>
      <c r="E21" t="inlineStr">
        <is>
          <t>餐饮类</t>
        </is>
      </c>
      <c r="F21" t="inlineStr">
        <is>
          <t>2025</t>
        </is>
      </c>
      <c r="G21" t="inlineStr">
        <is>
          <t>品牌公关, 活动营销公关</t>
        </is>
      </c>
      <c r="H21" t="inlineStr">
        <is>
          <t>认知类目标, 行为类目标</t>
        </is>
      </c>
      <c r="I21" t="inlineStr">
        <is>
          <t>品牌知名度提升, 销售促进, 用户参与/共创, 用户增长/留存</t>
        </is>
      </c>
      <c r="J21" t="inlineStr">
        <is>
          <t>1.品牌定位：石林本地具有较高认知度的“花园餐厅”，主打“多人聚餐”、“石林特色美食”和“高性价比套餐”。
2.市场机会：石林县特色菜赛道持续扩容，文旅融合驱动升级，“打卡经济”催生体验型消费。
3.当前痛点：抖音运营存在内容同质化、官号涨粉慢、直播转化效率低、年轻客群触达不足等问题。
4.核心策略：通过“内容营销+短视频种草+直播转化”的精细化运营，打通线上曝光到线下消费的闭环。</t>
        </is>
      </c>
      <c r="K21" t="inlineStr">
        <is>
          <t>KOL/KOC影响力营销, 内容营销, 事件营销, 整合营销传播</t>
        </is>
      </c>
      <c r="L21" t="inlineStr">
        <is>
          <t>新媒体</t>
        </is>
      </c>
      <c r="M21" t="inlineStr">
        <is>
          <t>短视频平台, 直播平台</t>
        </is>
      </c>
      <c r="N21" t="inlineStr">
        <is>
          <t>抖音</t>
        </is>
      </c>
      <c r="O21" t="inlineStr">
        <is>
          <t>1.达人矩阵种草：利用头部、腰部、尾部KOL及KOC进行大规模、分层化的内容铺排，覆盖美食、探店、旅行等垂类。
2.官方账号运营：完善账号基建，定期发布高质量短视频（官号每月4条）和开展直播（每周1-2场平播+节点大场直播）。
3.直播转化：采用“日常平播+节点大专场”结合的模式，通过优化货盘、脚本、场景和互动，促进即时转化。
4.话题与榜单运营：创建并推广品牌相关话题（如#千百度火把节狂欢#），冲击抖音本地热销榜、好评榜等榜单，提升曝光。
5.本地推投流：对优质内容和直播进行精准广告投放，放大传播效果。</t>
        </is>
      </c>
      <c r="P21" t="inlineStr">
        <is>
          <t>1.节点营销与自造节：深度绑定传统节日（如端午、中秋）和地方特色节日（如火把节），打造专属营销活动，如“火神赐福·篝火狂欢”火把节特别活动。
2.矩阵式内容铺排：采用“头部KOL引爆+腰部KOL铺量+尾部KOC/KOC形成闭环”的打法，实现广覆盖和深渗透。
3.“短直协同”闭环：以短视频内容进行前期种草和蓄水，通过直播进行流量集中收割和转化，形成营销闭环。
4.数据驱动的运营：强调基于POI数据、直播数据、用户画像等进行持续复盘和优化，实现精准营销。</t>
        </is>
      </c>
      <c r="Q21" t="inlineStr">
        <is>
          <t>季度主题规划：
•
Q2（4-6月）：夏日好味季，侧重五一、母亲节、520、端午节点预热与爆发。
•
Q3（7-9月）：暑期狂欢季，侧重旅游打卡和火把节活动。
•
Q4（10-12月）：暖冬回馈季，侧重国庆、双十一、年终回馈。
2.
直播执行流程：包含直播前（预热、选品、脚本、场地测试）、直播中（流程把控、互动、投流）、直播后（复盘、数据优化）的全链路管理。</t>
        </is>
      </c>
      <c r="R21" t="inlineStr">
        <is>
          <t>1.时间周期：以年度为周期，按季度和月度进行阶段性规划，重点把握4-10月的旅游旺季和各类节庆节点。
2.资源投入：服务商（帮扶股份）将投入其自有达人矩阵（3000+账号）、专业直播团队、内容创作团队和投流支持。
3.团队分工：方案详细规划了直播前期团队（策划、文案、视频、设计、技术等10-20人）和直播执行团队（策划、直播、设备、场地等10-15人）的协作分工。
4.预期效果：方案旨在解决品牌当前抖音运营痛点，提升POI热度、官号粉丝量、直播GMV，并最终带动门店客流量和销售额增长。文档中引用了多个合作案例（如轿子雪山、小人国主题公园等）的GMV数据作为效果佐证。</t>
        </is>
      </c>
      <c r="S21"/>
      <c r="T21"/>
      <c r="U21"/>
      <c r="V21"/>
      <c r="W21"/>
      <c r="X21"/>
      <c r="Y21" s="3" t="str">
        <f>=HYPERLINK("https://scnymnlhceuf.feishu.cn/file/WNTHbw5PioEbhmxOmqYcj18xnnh", "2025线下餐饮门店花园餐厅品牌抖音运营方案【餐饮抖音运营】【餐厅抖音运营】【餐饮短视频运营】.pdf")</f>
        <v>2025线下餐饮门店花园餐厅品牌抖音运营方案【餐饮抖音运营】【餐厅抖音运营】【餐饮短视频运营】.pdf</v>
      </c>
      <c r="Z21"/>
    </row>
    <row r="22" ht="25.5" customHeight="1">
      <c r="A22" t="inlineStr">
        <is>
          <t>小红书</t>
        </is>
      </c>
      <c r="B22" t="inlineStr">
        <is>
          <t>整合营销</t>
        </is>
      </c>
      <c r="C22" s="2"/>
      <c r="D22" t="inlineStr">
        <is>
          <t>科技与互联网</t>
        </is>
      </c>
      <c r="E22" t="inlineStr">
        <is>
          <t>社区、内容与互动媒体</t>
        </is>
      </c>
      <c r="F22" t="inlineStr">
        <is>
          <t>2025</t>
        </is>
      </c>
      <c r="G22" t="inlineStr">
        <is>
          <t>品牌公关</t>
        </is>
      </c>
      <c r="H22" t="inlineStr">
        <is>
          <t>认知类目标, 行为类目标</t>
        </is>
      </c>
      <c r="I22" t="inlineStr">
        <is>
          <t>品牌知名度提升, 用户参与/共创, 新品发布认知, 销售促进</t>
        </is>
      </c>
      <c r="J22" t="inlineStr">
        <is>
          <t>1.平台定位：利用小红书“小美社区”围绕20大人群生活场景聚集的优势，赋能品牌与目标用户进行深度沟通。
2.核心价值：通过定制化的内容专栏、创意互动小程序和高效的派样机制，帮助美妆品牌在站内实现从场景化种草到用户互动裂变，再到销售转化的完整营销链路。
3.数据基础：文档提及“小美社区”拥有促产笔记50w+篇，具备活跃的社区氛围和内容生产基础。</t>
        </is>
      </c>
      <c r="K22" t="inlineStr">
        <is>
          <t>内容营销, KOL/KOC影响力营销, 心智种草/口碑营销, 整合营销传播</t>
        </is>
      </c>
      <c r="L22" t="inlineStr">
        <is>
          <t>新媒体</t>
        </is>
      </c>
      <c r="M22" t="inlineStr">
        <is>
          <t>社交媒体, 内容平台</t>
        </is>
      </c>
      <c r="N22" t="inlineStr">
        <is>
          <t>小红书</t>
        </is>
      </c>
      <c r="O22" t="inlineStr">
        <is>
          <t>1.小美专栏深度定制：通过精准场景词搜索拦截入口，联合KOL/明星制作以“平台视角为主”的深度内容（如小美tips和好物分享），避免生硬植入。
2.小美衣橱/小美之家互动小程序：核心互动玩法。用户通过搜索收集碎片、DIY虚拟形象或家居空间，完成任务可获得品牌奖励，刺激分享和笔记发布。
3.高效派样：通过小程序进行快速或精准派样（实物产品、电商优惠券、线下核销券等），附带动员用户带话题发布笔记的机制，快速打开站内认知和积累口碑。
4.官号与社群运营：官方账号发起活动，通过群聊扩散、优质内容翻牌、发布小美周报等形式维护热度与用户关系。</t>
        </is>
      </c>
      <c r="P22" t="inlineStr">
        <is>
          <t>1.游戏化互动机制：“小美衣橱”小程序将营销活动设计成收集、合成、装扮的游戏，大幅提升用户参与乐趣和停留时长。
2.场景化深度沟通：“小美专栏”不再是简单的广告位，而是融入用户具体生活场景（如通勤、约会、宅家）的内容载体，实现品牌价值的软性传递。
3.整合式奖励路径：将品牌奖励（产品、券码）深度嵌入互动流程中（如解锁获得、积分兑换），并将线上互动与线下消费（门店核销）打通，实现品效合一。
4.平台化运营思维：强调以“小美”这个平台IP为核心发起活动，品牌作为“小美好伙伴”官宣入驻，增强了活动的官方感和可信度。</t>
        </is>
      </c>
      <c r="Q22" t="inlineStr">
        <is>
          <t>1.活动起势：Step1 - 品牌作为“小美好伙伴”官宣入驻，透传整体玩法。
2.互动引导：Step2 - 发布“小美碎片图鉴”，详解碎片收集玩法和奖励，呼吁用户参与。
3.UGC激发：Step3 - 通过“小美晒周边”翻牌优质笔记，并辅以高价值奖品激励，进行二次传播，激发更多UGC。
4.派样活动流程：福利告知 -&gt; 用户参与（发笔记/做任务） -&gt; 获得派样资格 -&gt; 晒福利 -&gt; 优质晒单被翻牌获得二次奖励。</t>
        </is>
      </c>
      <c r="R22" t="inlineStr">
        <is>
          <t>执行概况
1.资源支持：方案由小红书商业化营销中心出品，提供平台级的营销工具（如专属H5、品专跳转、小美衣橱小程序）、流量入口（搜索拦截）和运营支持（内容翻牌、周报）。
2.定制化程度：品牌可根据需求选择单独或组合使用“小美专栏”、“小美衣橱/之家”、“派样”等模块。
3.效果预期：方案旨在通过一系列互动和内容组合，帮助品牌在站内实现深度种草、口碑积累和销售引导。</t>
        </is>
      </c>
      <c r="S22"/>
      <c r="T22"/>
      <c r="U22"/>
      <c r="V22"/>
      <c r="W22"/>
      <c r="X22"/>
      <c r="Y22" s="3" t="str">
        <f>=HYPERLINK("https://scnymnlhceuf.feishu.cn/file/JFkwbGBzboNM4XxPZ1jcFAzWnuc", "2025小红书小美说美妆行业玩法推荐.pdf")</f>
        <v>2025小红书小美说美妆行业玩法推荐.pdf</v>
      </c>
      <c r="Z22"/>
    </row>
    <row r="23" ht="25.5" customHeight="1">
      <c r="A23" t="inlineStr">
        <is>
          <t>中国银行信用卡</t>
        </is>
      </c>
      <c r="B23" t="inlineStr">
        <is>
          <t>整合营销</t>
        </is>
      </c>
      <c r="C23" s="2"/>
      <c r="D23" t="inlineStr">
        <is>
          <t>金融</t>
        </is>
      </c>
      <c r="E23" t="inlineStr">
        <is>
          <t>银行</t>
        </is>
      </c>
      <c r="F23" t="inlineStr">
        <is>
          <t>2025</t>
        </is>
      </c>
      <c r="G23" t="inlineStr">
        <is>
          <t>品牌公关, 产品发布公关</t>
        </is>
      </c>
      <c r="H23" t="inlineStr">
        <is>
          <t>认知类目标, 行为类目标</t>
        </is>
      </c>
      <c r="I23" t="inlineStr">
        <is>
          <t>品牌知名度提升, 用户增长/留存</t>
        </is>
      </c>
      <c r="J23" t="inlineStr">
        <is>
          <t>1.目标人群：25-35岁之间的年轻人及白领，涵盖北上广深等一线城市。他们看重信用卡的折扣、积分等福利，消费领域集中在购物、差旅、美食、休闲娱乐。
2.
市场背景：中行信用卡境内项目启动较晚，面临品牌形象沉稳老化、在年轻人群中市场份额较低、社交媒体活跃度不足等挑战。但合作商户范围广，且竞争对手营销手段同质化严重，存在差异化突围的机会。
3.
核心策略：避开竞争激烈的工作日，聚焦“周末”时段，打造“最惠中行日”概念，通过创新的传播符号和整合传播手段，与年轻消费者建立情感链接。</t>
        </is>
      </c>
      <c r="K23" t="inlineStr">
        <is>
          <t>KOL/KOC影响力营销, 内容营销, 事件营销, 整合营销传播</t>
        </is>
      </c>
      <c r="L23" t="inlineStr">
        <is>
          <t>新媒体</t>
        </is>
      </c>
      <c r="M23" t="inlineStr">
        <is>
          <t>社交媒体, 内容平台</t>
        </is>
      </c>
      <c r="N23" t="inlineStr">
        <is>
          <t>微博, 知乎</t>
        </is>
      </c>
      <c r="O23" t="inlineStr">
        <is>
          <t>1.核心话题传播：打造主话题#周末放价不放假#和活动标签#最惠中行日#，进行集中传播。
2.
病毒视频投放：制作创意病毒视频，通过情景喜剧形式展示活动优惠和“刷手”概念。
3.
系列漫画创作：与@伟大的安妮、@暴走漫画等知名漫画家合作，创作系列漫画，生动演绎“末日刷手”故事。
4.H5互动页面：建立整合活动信息、优惠详情、办卡入口的H5页面，作为信息聚合和互动中心。
5.
KOL/自媒体推广：利用各领域KOL和自媒体大V的影响力，发布定制化图文内容，覆盖目标圈层。
6.
热点营销：设立专门团队监测社交热点，快速响应并策划与品牌调性相符的热点内容。</t>
        </is>
      </c>
      <c r="P23" t="inlineStr">
        <is>
          <t>1.“末日刷手”形象塑造：创新地将目标用户塑造成具有专属称号（“末日刷手”，即“周末刷手”）的趣味符号，赋予用户身份认同感和归属感，使营销信息更易被接受和传播。
2.
“周末”概念占位：精准切入竞争对手相对薄弱的“周末”消费场景，将“中行”与“周末优惠”强绑定，试图建立消费条件反射。
3.
创意内容多元化：方案规划了从平面海报、病毒视频、H5到系列漫画的丰富内容组合，确保传播的新鲜感和吸引力。</t>
        </is>
      </c>
      <c r="Q23" t="inlineStr">
        <is>
          <t>传播阶段：
1.
预热与引爆期：制造话题，引发网友关注，为活动造势。
2.
互动与延续传播期：深入传播“周末放价不放假”概念，通过持续的内容输出和互动强化认知。
2.
热点营销流程：设立团队进行日常热点监测 -&gt; 筛选与品牌调性相符的热点 -&gt; 经客户确认后快速生成内容并执行。计划每月进行1-2次热点结合。</t>
        </is>
      </c>
      <c r="R23" t="inlineStr">
        <is>
          <t>资源列表：方案列出了详细的合作资源库，包括漫画作者（如@伟大的安妮）、微博KOL（如@石榴婆报告）、自媒体（如@万能的大熊）等，覆盖时尚、生活、搞笑等多个领域。
2.
内容规划：明确了各类内容的创作方向和展示形式，如病毒视频的创意脚本、H5页面的功能模块、漫画的风格等。</t>
        </is>
      </c>
      <c r="S23"/>
      <c r="T23"/>
      <c r="U23"/>
      <c r="V23"/>
      <c r="W23"/>
      <c r="X23"/>
      <c r="Y23" s="3" t="str">
        <f>=HYPERLINK("https://scnymnlhceuf.feishu.cn/file/ZEewbewVKoHLzWx6GTQcFZJInIf", "2025中国银行信用卡境内营销传播推广方案.pdf")</f>
        <v>2025中国银行信用卡境内营销传播推广方案.pdf</v>
      </c>
      <c r="Z23"/>
    </row>
    <row r="24" ht="25.5" customHeight="1">
      <c r="A24" t="inlineStr">
        <is>
          <t>Pawbby宠物品牌内容营销</t>
        </is>
      </c>
      <c r="B24" t="inlineStr">
        <is>
          <t>整合营销</t>
        </is>
      </c>
      <c r="C24" s="2"/>
      <c r="D24" t="inlineStr">
        <is>
          <t>大消费</t>
        </is>
      </c>
      <c r="E24" t="inlineStr">
        <is>
          <t>宠物用品</t>
        </is>
      </c>
      <c r="F24" t="inlineStr">
        <is>
          <t>2025</t>
        </is>
      </c>
      <c r="G24" t="inlineStr">
        <is>
          <t>品牌公关, 产品发布公关</t>
        </is>
      </c>
      <c r="H24" t="inlineStr">
        <is>
          <t>认知类目标, 行为类目标</t>
        </is>
      </c>
      <c r="I24" t="inlineStr">
        <is>
          <t>品牌知名度提升, 新品发布认知, 销售促进, 用户参与/共创</t>
        </is>
      </c>
      <c r="J24" t="inlineStr">
        <is>
          <t>1.市场现状：宠物用品竞争激烈，猫砂品类在小红书等平台内容量大，但品牌格局未定，存在以“除臭”等核心卖点突围的机会。
2.
品牌阶段：处于“受众感知期”向“销售扩张期”过渡阶段，已有一定内容铺垫，需通过海量内容引爆关注，快速收割市场。
3.
目标人群：以一线城市90后、95后女性“铲屎官”为核心，她们看重宠物生活品质，消费决策受内容和口碑影响大。
4.
核心挑战：如何在成熟品类中，通过差异化卖点（强力除臭）抢占用户心智，并实现从内容到销售的高效转化。</t>
        </is>
      </c>
      <c r="K24" t="inlineStr">
        <is>
          <t>KOL/KOC影响力营销, 内容营销, 心智种草/口碑营销, 整合营销传播</t>
        </is>
      </c>
      <c r="L24" t="inlineStr">
        <is>
          <t>新媒体</t>
        </is>
      </c>
      <c r="M24" t="inlineStr">
        <is>
          <t>内容平台, 短视频平台</t>
        </is>
      </c>
      <c r="N24" t="inlineStr">
        <is>
          <t>淘宝、唯品会、京东等电商平台, 小红书, 抖音</t>
        </is>
      </c>
      <c r="O24" t="inlineStr">
        <is>
          <t>1.小红书：以“产品评测”、“干货科普”、“使用体验”、“好物推荐”、“高颜值种草”等多种内容形式，进行大规模笔记铺排和关键词占位（如“猫砂除臭”）。
2.
抖音：以“萌宠剧情”和“产品测评”为主要内容形式，结合达人合作与品牌自播，进行内容传播和直播带货。
3.
淘宝生态：利用“逛逛”（公域内容）、“直播”（自播+达播）、“新微淘”（私域内容）进行内容种草和流量转化，形成“内容-兴趣-购买”的闭环。</t>
        </is>
      </c>
      <c r="P24" t="inlineStr">
        <is>
          <t>1.“除臭”卖点极致聚焦：在竞争激烈的猫砂市场中，选择“强力除臭”作为核心差异化卖点进行单点爆破，直击养宠用户最大痛点。
2.
跨平台内容矩阵打法：针对不同平台属性定制内容策略：小红书重深度种草和口碑积累，抖音重趣味内容和直播转化，淘宝重内容导购和销售承接。
3.
“爆品”思维贯穿始终：整个方案以打造猫砂“爆品”为核心目标，所有传播活动均围绕此目标展开，集中资源实现突破。
4.
数据驱动的运营优化：方案强调基于各平台数据（阅读量、互动量、转化率等）进行达人选择、内容优化和投放策略调整。</t>
        </is>
      </c>
      <c r="Q24" t="inlineStr">
        <is>
          <t>1.平台分工与节奏：
•
小红书：持续进行内容铺量种草，优化搜索排名，为电商平台引流。
•
抖音：按月度规划日常直播和节点大场直播（如618、双11），结合达人视频内容为直播引流。
•
淘宝/点淘：进行常态化店播，并参与平台大促活动。
2.
内容创作方向：文档详细规划了评测、科普、体验、推荐、颜值种草等五大内容方向的具体示例和关键词。
3.
直播活动规划：文档提供了详细的直播流程脚本、主题策划（如《智爱揭秘实验室》）、互动玩法（抽奖、优惠券）和人员分工。</t>
        </is>
      </c>
      <c r="R24" t="inlineStr">
        <is>
          <t>1.资源投入：计划投入多层次达人（头部、腰部、尾部KOL及KOC）进行内容共创；配备专业的直播团队（主播、运营、策划、场控等）。
2.
时间规划：方案以年度为周期，按月份和营销节点（如618、双11）规划了详细的内容发布和直播活动时间表。
3.
效果评估：设定了明确的KPI指标，如小红书笔记爆文率、抖音直播观看量、进店率、成交额等，用于持续复盘和优化。</t>
        </is>
      </c>
      <c r="S24" t="inlineStr">
        <is>
          <t>方案中提到需对产出内容进行正面舆论维护，对评论区进行控评，并对负面笔记进行积极引导或举报。</t>
        </is>
      </c>
      <c r="T24"/>
      <c r="U24"/>
      <c r="V24"/>
      <c r="W24"/>
      <c r="X24"/>
      <c r="Y24" s="3" t="str">
        <f>=HYPERLINK("https://scnymnlhceuf.feishu.cn/file/WmDcbw8O1oIzT9xgB9scddiznte", "20250402新媒体运营Pawbby内容营销全案方案.pdf")</f>
        <v>20250402新媒体运营Pawbby内容营销全案方案.pdf</v>
      </c>
      <c r="Z24"/>
    </row>
    <row r="25" ht="25.5" customHeight="1">
      <c r="A25" t="inlineStr">
        <is>
          <t>RIO鸡尾酒</t>
        </is>
      </c>
      <c r="B25" t="inlineStr">
        <is>
          <t>整合营销</t>
        </is>
      </c>
      <c r="C25" s="2"/>
      <c r="D25" t="inlineStr">
        <is>
          <t>大消费</t>
        </is>
      </c>
      <c r="E25" t="inlineStr">
        <is>
          <t>餐饮类</t>
        </is>
      </c>
      <c r="F25" t="inlineStr">
        <is>
          <t>未知</t>
        </is>
      </c>
      <c r="G25" t="inlineStr">
        <is>
          <t>品牌公关, 产品发布公关</t>
        </is>
      </c>
      <c r="H25" t="inlineStr">
        <is>
          <t>认知类目标, 态度类目标, 行为类目标</t>
        </is>
      </c>
      <c r="I25" t="inlineStr">
        <is>
          <t>品牌知名度提升, 好感度与信任构建, 用户增长/留存, 销售促进</t>
        </is>
      </c>
      <c r="J25" t="inlineStr">
        <is>
          <t>1.市场机遇：Z世代推动低度酒市场增长，饮用场景多元化；抖音平台低度酒品类增长迅速，但竞品（如梅见、果立方、三得利）在抖音上对Z世代的“情绪需求”建设不足，为RIO留下差异化切入机会。
2.
品牌现状：RIO在抖音已有账号布局（如官方旗舰店、酒类旗舰店），但内容以卖货为主，缺乏品牌心智建设，需强化与Z世代的情感连接。
3.
核心挑战：在抖音流量成本增长的背景下，如何通过优质内容撬动自然流量，提升付费转化效率。
4.
策略核心：利用抖音的“搭子文化”，将RIO定位为Z世代全域生活“社牛搭子”，通过场景化内容融入其生活，满足其社交、人设、悦己诉求。</t>
        </is>
      </c>
      <c r="K25" t="inlineStr">
        <is>
          <t>KOL/KOC影响力营销, 内容营销, 整合营销传播, 事件营销</t>
        </is>
      </c>
      <c r="L25" t="inlineStr">
        <is>
          <t>新媒体</t>
        </is>
      </c>
      <c r="M25" t="inlineStr">
        <is>
          <t>短视频平台, 直播平台</t>
        </is>
      </c>
      <c r="N25" t="inlineStr">
        <is>
          <t>抖音</t>
        </is>
      </c>
      <c r="O25" t="inlineStr">
        <is>
          <t>1.账号矩阵运营：新建并运营“RIO锐澳乐搭旗舰店”账号，定位为“内容+卖货”型账号，打造“生活搭子聚集地”人设，与现有卖货账号形成互补。
2.
内容矩阵铺排：
•
短视频：规划“品牌向”、“剧情向”（独酌、欢聚、美食、趣调时光）、“引流向”（明星直播高光、口味测评、宠粉福利）等多类型内容。
•
直播：分为“日常自播”（每日6-8小时）和“PGC事件直播”（如超品日、潮玩日），后者会邀请跨领域达人（美食、潮流、调酒师）入驻直播间，打造主题化内容。
3.
达人矩阵合作：通过“3C法则”（Competitor, Capacity, Coincidence）筛选达人，进行短视频种草和直播带货。
4.
精准投流策略：利用千川等工具，基于5A人群模型，进行全链路投放，从DOU+测试到千川定向优化，逐步提升流量规模和质量。
5.
小店与会员运营：优化商品卡，突出明星和福利信息；建立会员体系，通过开卡礼、专属券、积分、会员日等十大举措进行深度运营，提升复购。</t>
        </is>
      </c>
      <c r="P25" t="inlineStr">
        <is>
          <t>1.“RIO我的社牛搭子”核心创意：紧密捆绑抖音流行的“搭子文化”，将产品从“酒饮”重新定位为满足Z世代社交、人设、悦己情绪的“全能搭子”，极具网感和共鸣感。
2.
账号人设化：将官方账号拟人化为“社牛搭子”，开设“搭子匹配厅”，发布“寻搭子启示”，并通过千川“全网搜搭子”，使营销动作高度统一于核心主题。
3.
内容场景化：深度结合Z世代的真实生活场景（如独酌、朋友小聚、露营、Citywalk、音乐节）进行内容创作，使品牌自然融入用户生活。
4.
数据驱动运营：方案强调基于千瓜数据等平台进行竞品分析、达人筛选、投放复盘，确保策略的科学性和可优化性。</t>
        </is>
      </c>
      <c r="Q25" t="inlineStr">
        <is>
          <t>1.账号搭建流程：明确账号名称、定位、主页头图、简介、商品橱窗、自定义TAB（如作品合辑、提及、品牌活动页）的装修规范。
2.直播流程规划：
•日常直播：按“测试期-冷启动期-成长期-突围期-稳定期”划分，明确各阶段直播时长、频率和目标。
•PGC直播：规划“抖音超品日”和“夏季潮玩日”等大事件，包含前期预热（达人视频、官号预告）、中期引爆（多达人入驻直播、特色场景如露营茶话会）、后期复盘全流程。
3.达人合作流程：明确从“策略定位-工具初筛-数据评估（粉丝力、创造力、传播力）-签约执行-效果复盘”的完整链路。</t>
        </is>
      </c>
      <c r="R25" t="inlineStr">
        <is>
          <t>1.资源投入：方案规划了自有的“王牌主播”和“主播池”，并列出了详细的潜在达人名单（如@潮爸刘教授、@戚薇等）。团队配置包括运营、主播、助理、策划等角色。
2.
时间规划：方案以年度为周期，规划了日常持续运营和关键节点大促（如618、超品日）的结合。
3.
效果预估：方案引用了类似案例（如“怡宝好物节”GMV破102万）作为效果佐证，并设定了明确的优化指标（如观看量、GMV、ROI、5A人群资产等）。</t>
        </is>
      </c>
      <c r="S25"/>
      <c r="T25"/>
      <c r="U25"/>
      <c r="V25"/>
      <c r="W25"/>
      <c r="X25"/>
      <c r="Y25" s="3" t="str">
        <f>=HYPERLINK("https://scnymnlhceuf.feishu.cn/file/E8BrbwwqDoqeXBxxj6kcDfkbnRc", "RIO鸡尾酒品牌抖音dp运营方案【调酒】【低度酒抖音运营】【气泡酒点评运营】.pdf")</f>
        <v>RIO鸡尾酒品牌抖音dp运营方案【调酒】【低度酒抖音运营】【气泡酒点评运营】.pdf</v>
      </c>
      <c r="Z25"/>
    </row>
    <row r="26" ht="25.5" customHeight="1">
      <c r="A26" t="inlineStr">
        <is>
          <t>本田雅阁</t>
        </is>
      </c>
      <c r="B26" t="inlineStr">
        <is>
          <t>整合营销</t>
        </is>
      </c>
      <c r="C26" s="2"/>
      <c r="D26" t="inlineStr">
        <is>
          <t>制造、能源与基础产业</t>
        </is>
      </c>
      <c r="E26" t="inlineStr">
        <is>
          <t>汽车与交通设备</t>
        </is>
      </c>
      <c r="F26" t="inlineStr">
        <is>
          <t>2024</t>
        </is>
      </c>
      <c r="G26" t="inlineStr">
        <is>
          <t>品牌公关, 产品发布公关</t>
        </is>
      </c>
      <c r="H26" t="inlineStr">
        <is>
          <t>认知类目标, 行为类目标</t>
        </is>
      </c>
      <c r="I26" t="inlineStr">
        <is>
          <t>品牌知名度提升, 销售促进, 用户增长/留存</t>
        </is>
      </c>
      <c r="J26" t="inlineStr">
        <is>
          <t>1.核心问题：针对汽车经销商在新媒体运营中遇到的两大痛点——单账号流量瓶颈和封号/限流风险——提供解决方案。
2.核心策略：通过构建由企业蓝V账号、员工账号、客户账号组成的矩阵，以“数量”突破“流量天花板”，实现流量和线索的指数级增长。
3.可行性依据：引用成功案例（如“鄂州模式”），证明矩阵化运营可实现单月超3300条线索、190个订单的效果。</t>
        </is>
      </c>
      <c r="K26" t="inlineStr">
        <is>
          <t>整合营销传播, 内容营销, 其他</t>
        </is>
      </c>
      <c r="L26" t="inlineStr">
        <is>
          <t>新媒体</t>
        </is>
      </c>
      <c r="M26" t="inlineStr">
        <is>
          <t>直播平台, 短视频平台, 社交媒体</t>
        </is>
      </c>
      <c r="N26" t="inlineStr">
        <is>
          <t>抖音, 快手, 微信视频号, 小红书</t>
        </is>
      </c>
      <c r="O26" t="inlineStr">
        <is>
          <t>1.账号矩阵搭建：
•企业蓝V矩阵：设立主账号（覆盖全市）和多个副账号（分区域覆盖），内容职能分工。
•员工账号矩阵：动员销售等员工建立个人账号，塑造专业或亲民人设，进行内容创作和直播。
•客户账号矩阵：通过提供视频模板、邀请分享提车/用车体验等方式，激励客户成为“自来水”。
2.内容二创与去重：为避免多账号发布相同内容被限流，采用“掐头去尾、镜像翻转、抽帧/加速、画面缩放”等技巧对优质素材进行二次创作。
3.跨平台运营：文档详细分析了抖音、快手、小红书、视频号四大平台的特性、用户画像和运营技巧，指导经销商根据自身资源选择适合的平台进行深耕。</t>
        </is>
      </c>
      <c r="P26" t="inlineStr">
        <is>
          <t>1.“以量取胜”的底层逻辑：明确提出“打破账号数量上限比打破单个账号流量上限更容易”的核心观点，将营销资源从“做精一个号”转变为“做活多个号”。
2.“二创提效”的内容方法论：承认经销商并非专业MCN，不追求全部原创，而是建立一套高效的内容二创流程，实现优质内容在矩阵内的快速扩散和安全分发。
3.“三阶段”落地路径：将矩阵运营分为启动期、发展期、稳定期，明确每个阶段在人员配置、内容产出、直播场次、线索目标等方面的具体指标，极具可操作性。
4.精细化投流分配：提出在不增加总预算的前提下，通过数据反馈动态调整各矩阵账号的投流预算分配，实现投放效率最大化。</t>
        </is>
      </c>
      <c r="Q26" t="inlineStr">
        <is>
          <t>1.运营流程：
•内容生产：拍剪人员统一制作模板或进行二创 -&gt; 分配至各矩阵账号 -&gt; 账号负责人（销售/运营）发布。
•线索流转：用户通过视频、直播、私信留资 -&gt; 线索人员统一录入DMS系统 -&gt; 销售跟进邀约到店。
2.激励政策：前期以奖励为主（如高播放量视频奖励），稳定后设立KPI考核，与绩效挂钩。</t>
        </is>
      </c>
      <c r="R26" t="inlineStr">
        <is>
          <t>1.资源投入：方案规划了从兼职到专职的人员扩张路径，并列出了详细的岗位职责和考核指标。
2.
时间规划：按“启动期、发展期、稳定期”三阶段推进，周期约为数月到一年。
3.
效果预估：设定了明确的阶段性目标，如稳定期目标为：账号&gt;2个，周视频&gt;7支，周直播&gt;7场，月线索量&gt;1000条。</t>
        </is>
      </c>
      <c r="S26" t="inlineStr">
        <is>
          <t>风险分摊：矩阵账号的核心优势之一就是应急预案。当某个账号被封或限流时，其他账号可以立即补上，保证业务不中断。</t>
        </is>
      </c>
      <c r="T26"/>
      <c r="U26"/>
      <c r="V26"/>
      <c r="W26"/>
      <c r="X26"/>
      <c r="Y26" s="3" t="str">
        <f>=HYPERLINK("https://scnymnlhceuf.feishu.cn/file/W2G5bUembo5UPRx4NfVcGElBnWd", "本田雅阁汽车新媒体运营技巧账号矩阵（抖音小红书快手）.pdf")</f>
        <v>本田雅阁汽车新媒体运营技巧账号矩阵（抖音小红书快手）.pdf</v>
      </c>
      <c r="Z26"/>
    </row>
    <row r="27" ht="25.5" customHeight="1">
      <c r="A27" t="inlineStr">
        <is>
          <t>大唐烟波岛品牌IP</t>
        </is>
      </c>
      <c r="B27" t="inlineStr">
        <is>
          <t>整合营销</t>
        </is>
      </c>
      <c r="C27" s="2"/>
      <c r="D27" t="inlineStr">
        <is>
          <t>大消费</t>
        </is>
      </c>
      <c r="E27" t="inlineStr">
        <is>
          <t>旅游</t>
        </is>
      </c>
      <c r="F27" t="inlineStr">
        <is>
          <t>未知</t>
        </is>
      </c>
      <c r="G27" t="inlineStr">
        <is>
          <t>品牌公关, 政府公共事务公关, 活动营销公关</t>
        </is>
      </c>
      <c r="H27" t="inlineStr">
        <is>
          <t>认知类目标, 行为类目标, 关系类目标</t>
        </is>
      </c>
      <c r="I27" t="inlineStr">
        <is>
          <t>品牌知名度提升, 用户参与/共创</t>
        </is>
      </c>
      <c r="J27" t="inlineStr">
        <is>
          <t>1.项目定位：定位为“繁华都市里的一抹绿洲”，打造成为“西安最具代表性的唐文化主题休闲乐园”和“全新场景式代入化体验主题示范窗口”。
2.
核心资源：坐拥曲江池稀缺生态景观，周边大唐文化氛围浓郁。
3.
当前痛点：虽有文化底蕴，但体验形式单一、缺乏互动；缺乏具有自身标识属性的消费产品；品牌形象模糊，需精准标签以锁定目标客群。
4.
市场机遇：抓住城市化背景下人们对“安静空间”和“品质体验”的追求，以及国潮兴起带来的文化自信红利。</t>
        </is>
      </c>
      <c r="K27" t="inlineStr">
        <is>
          <t>IP联名, 事件营销, 整合营销传播</t>
        </is>
      </c>
      <c r="L27" t="inlineStr">
        <is>
          <t>体验媒体, 新媒体</t>
        </is>
      </c>
      <c r="M27" t="inlineStr">
        <is>
          <t>线下活动, 内容平台</t>
        </is>
      </c>
      <c r="N27" t="inlineStr">
        <is>
          <t>抖音</t>
        </is>
      </c>
      <c r="O27" t="inlineStr">
        <is>
          <t>1.强制性文化入场券：规定“汉服”为入园唯一通行证，强力塑造沉浸式唐风氛围，使每位游客都成为景观的一部分，并衍生出汉服租赁、妆造等服务。
2.场景化体验设计：将全岛划分为不同功能区（云韶府、茶经亭、鸿胪寺、**台等），分别对应乐舞、茶道、撸宠、擂台等唐文化体验，实现“一步一景，一景一体验”。
3.角色扮演与NPC互动：游客可付费扮演“不良人”、“诗人”、“商贩”等角色，履行特定职能（如维持秩序、参与擂台评分），并获得荣誉证书，极大提升参与感和传播点。
4.网红宠物IP孵化：全岛放养环尾狐猴、孔雀等温顺亲人的动物，打造“撸宠”核心吸引力，并计划将其中的明星动物运营成网红IP，自带流量和粉丝经济。
5.新媒体平台引流：借鉴成功案例（如古北水镇），计划通过抖音等平台进行商家自播、达人合作、话题营销，将线上流量转化为线下客源。</t>
        </is>
      </c>
      <c r="P27" t="inlineStr">
        <is>
          <t>1.“非同袍，不入场”：通过汉服着装要求，极低成本地统一了景区视觉调性，将游客转化为活动布景，是打造沉浸感的核心规则。
2.
“人人都是NPC”：将传统的游客身份升级为剧情参与者，通过角色扮演和任务体系，将消费行为转化为游戏化体验，大幅提升互动性和复游率。
3.
“宠物云养+文创衍生”：将动物互动从简单观赏升级为深度“撸宠”体验，并规划了完整的IP衍生品链条（钥匙扣、公仔、联名美妆等），实现“以宠带货”。
4.
“擂台赛制”活化传统文化：将茶道、乐舞等静态文化展示，转化为有仪式感、有竞争性的周末擂台活动，并邀请游客（如“诗人”角色持有者）参与评审，形成持续的内容生产和社交话题。</t>
        </is>
      </c>
      <c r="Q27" t="inlineStr">
        <is>
          <t>1.空间规划：全岛形成环形动线，依次设置入口服务区、云韶府（乐舞）、茶经亭（茶道）、鸿胪寺（撸宠）、**台（擂台/市集）等功能区。
2.
体验流程：
•
游客在入口换装后入园。
•
可自由体验各功能区活动，或选择特定角色扮演。
•
参与日常课程培训，优秀者可报名周末擂台赛。
•
在全岛与放养动物互动、打卡拍照。
•
在市集购买特色文创和饮品小吃。
3.
活动节奏：日常为各功能区基础体验；每周举办主题擂台赛；每季度策划大型嘉年华活动。</t>
        </is>
      </c>
      <c r="R27" t="inlineStr">
        <is>
          <t>1.产品体系：分为公共服务产品（如打卡点、景观）和盈利性产品（如体验课程、角色扮演、宠物投喂、文创销售、餐饮）。
2.
合作模式：提出“开放式园区”管理，计划通过异业合作引进资源（如街拍服务、非遗守艺人），保持内容常变常新。
3.
三阶发展路线：
•
布局期：构建功能模块雏形，确立导流机制，输出认知。
•
聚能期：丰富产品与服务，优化资源配置，深化品牌影响。
•
平台化：释放产业势能，进行品牌IP的商业价值深度开发。</t>
        </is>
      </c>
      <c r="S27"/>
      <c r="T27"/>
      <c r="U27"/>
      <c r="V27"/>
      <c r="W27"/>
      <c r="X27"/>
      <c r="Y27" s="3" t="str">
        <f>=HYPERLINK("https://scnymnlhceuf.feishu.cn/file/VUxQbgRAcocVTtxGN1EcC58Inih", "大唐烟波岛景区品牌运营方案.pdf")</f>
        <v>大唐烟波岛景区品牌运营方案.pdf</v>
      </c>
      <c r="Z27"/>
    </row>
    <row r="28" ht="25.5" customHeight="1">
      <c r="A28" t="inlineStr">
        <is>
          <t>东阿阿胶</t>
        </is>
      </c>
      <c r="B28" t="inlineStr">
        <is>
          <t>整合营销</t>
        </is>
      </c>
      <c r="C28" s="2"/>
      <c r="D28" t="inlineStr">
        <is>
          <t>大消费</t>
        </is>
      </c>
      <c r="E28" t="inlineStr">
        <is>
          <t>健康护理与医疗器械</t>
        </is>
      </c>
      <c r="F28" t="inlineStr">
        <is>
          <t>2022</t>
        </is>
      </c>
      <c r="G28" t="inlineStr">
        <is>
          <t>品牌公关, 产品发布公关</t>
        </is>
      </c>
      <c r="H28" t="inlineStr">
        <is>
          <t>认知类目标, 行为类目标</t>
        </is>
      </c>
      <c r="I28" t="inlineStr">
        <is>
          <t>品牌知名度提升, 销售促进, 用户增长/留存</t>
        </is>
      </c>
      <c r="J28" t="inlineStr">
        <is>
          <t>1.提升品牌认知与记忆：通过高势能媒体（央卫视、跨年晚会）高空覆盖，唤醒和强化品牌记忆。
2.深耕区域市场：在原点市场（山东）和核心省份中心城市，通过地方媒体和线下媒体加强触达，促进终端动销。
3.精准触达圈层人群：借助社交平台（小红书、抖音）进行达人种草，与目标消费者进行差异化沟通，助力社交裂变。</t>
        </is>
      </c>
      <c r="K28" t="inlineStr">
        <is>
          <t>整合营销传播</t>
        </is>
      </c>
      <c r="L28" t="inlineStr">
        <is>
          <t>传统媒体, 体验媒体, 新媒体</t>
        </is>
      </c>
      <c r="M28" t="inlineStr">
        <is>
          <t>广播电视媒体, 户外媒体, 社交媒体</t>
        </is>
      </c>
      <c r="N28" t="inlineStr">
        <is>
          <t>省级媒体, 小红书, 抖音</t>
        </is>
      </c>
      <c r="O28" t="inlineStr">
        <is>
          <t>1.电视：硬广投放、栏目冠名（如山东卫视中秋晚会）、大型晚会战略合作（如江苏卫视跨年晚会）。
2.户外：在精选的20多个中心城市，针对目标人群（F25-55）进行高频次的楼宇广告曝光。
3.社交：
小红书：采用“超头部+头部+腰部+尾部”的达人矩阵进行内容种草，内容主题聚焦于“姨妈补血”、“产后调理”、“气色改善”等。
抖音：集中投放头部剧情类达人，实现强势曝光，并配合挑战赛等活动提升热度。</t>
        </is>
      </c>
      <c r="P28" t="inlineStr">
        <is>
          <t>1.“节日节点”引爆：紧抓中秋、国庆、跨年等重大节日节点，通过晚会冠名和卫视联播进行集中引爆，快速提升品牌声量。例如，12月借助跨年晚会，品牌全国到达率显著提升至32.1%。
2.“地域侧写”式投放：户外媒体投放并非一刀切，而是根据CMMS数据，针对每个中心城市的户外媒体接触度排名，优先选择TOP3的媒体资源进行组合投放，确保投放效率。例如，在重庆、上海、成都等地，楼宇媒体均是当地接触度最高的户外资源之一。
3.“达人矩阵”精细化运营：不是简单按粉丝量投放，而是根据平台特性和数据反馈进行精细化运营。例如，小红书侧养生类和好物分享类达人互动率表现优异；抖音侧头部剧情类达人曝光效果最好，CPM成本可控。</t>
        </is>
      </c>
      <c r="Q28" t="inlineStr">
        <is>
          <t>1.投放节奏：
•9-11月：持续投放期，以地方频道和社交平台种草为主，积蓄势能。
•12月：爆发期，集中央卫视资源及晚会资源，结合跨年节点实现声量高峰。
2.
各产品投放重点：
•阿胶块/粉：资源投入最大，全渠道覆盖，总覆盖人次达31.4亿。
•复方阿胶浆：紧跟主品牌策略，但全国收视点和到达率较低，需优化。
•桃花姬：聚焦山东，仅在小红书和抖音进行投放，总覆盖人次2.7亿。
3.效果监测流程：使用第三方数据平台（如CTR、CSM、阳狮Tardiis、QuestMobile、阳狮Fluency等）进行跨媒介投放效果监测、社交声量分析和竞品追踪。</t>
        </is>
      </c>
      <c r="R28" t="inlineStr">
        <is>
          <t>1.资源投入：媒介预算向主品牌倾斜，电视和户外是预算投入主体，社交平台预算占比相对较小但增长显著。
2.覆盖人次：2022年9-12月，三大产品总曝光量超过47.4亿人次。其中，阿胶块/粉覆盖31.4亿人次，复方阿胶浆覆盖13.3亿人次，桃花姬覆盖2.7亿人次。
3.效果评估：
•正面效果：社交声量较去年同期大幅提升，品牌及产品功能点讨论热度高；楼宇媒体在目标城市覆盖精准。
•待优化点：全国市场电视到达率偏低（如12月全国1+到达率32.9%）；年轻人群触达有待加强；媒介策略在不同产品间差异不明显。</t>
        </is>
      </c>
      <c r="S28"/>
      <c r="T28" t="inlineStr">
        <is>
          <t>1.电视媒体优化：利用阳狮“数智化”工具，优化频道组合（如用CCTV-8替换CCTV-新闻频道，用重庆卫视替换河南卫视），预估可提升收视点25%-30%，到达率3%-5%。
2.
社交媒体优化：
•小红书：加大表现优异的腰尾部达人和养生/好物分享类达人投入；优化内容主题（如减少“亚健康”主题，增加“养颜抗衰”主题）。
•抖音：维持头部剧情类达人投入；尝试增加非剧情类达人测试效果；考虑将达人种草与挑战赛话题结合，借势提升内容热度。
•建议增加社交广告推流预算，助力优质内容裂变扩散。
3.整体策略提升：2023年需结合品牌全年沟通规划，制定更具差异化的分产品传播策略，并设定清晰的跨屏到达率目标，加强投放后的第三方效果验证。</t>
        </is>
      </c>
      <c r="U28"/>
      <c r="V28"/>
      <c r="W28"/>
      <c r="X28"/>
      <c r="Y28" s="3" t="str">
        <f>=HYPERLINK("https://scnymnlhceuf.feishu.cn/file/Jwo9bb7s2omiWJxTdyPcZV0SnSx", "东阿阿胶22年9-12月媒介投放总结-0217.pdf")</f>
        <v>东阿阿胶22年9-12月媒介投放总结-0217.pdf</v>
      </c>
      <c r="Z28"/>
    </row>
    <row r="29" ht="25.5" customHeight="1">
      <c r="A29" t="inlineStr">
        <is>
          <t>多特瑞（doTERRA）</t>
        </is>
      </c>
      <c r="B29" t="inlineStr">
        <is>
          <t>整合营销</t>
        </is>
      </c>
      <c r="C29" s="2"/>
      <c r="D29" t="inlineStr">
        <is>
          <t>大消费</t>
        </is>
      </c>
      <c r="E29" t="inlineStr">
        <is>
          <t>美妆与日化</t>
        </is>
      </c>
      <c r="F29" t="inlineStr">
        <is>
          <t>2022</t>
        </is>
      </c>
      <c r="G29" t="inlineStr">
        <is>
          <t>品牌公关, 产品发布公关, 活动营销公关</t>
        </is>
      </c>
      <c r="H29" t="inlineStr">
        <is>
          <t>认知类目标, 态度类目标, 行为类目标</t>
        </is>
      </c>
      <c r="I29" t="inlineStr">
        <is>
          <t>品牌知名度提升, 用户增长/留存, 销售促进, 好感度与信任构建</t>
        </is>
      </c>
      <c r="J29" t="inlineStr">
        <is>
          <t>1.目标人群：核心为30-55岁，具备一定经济基础、注重生活品质、追求天然健康方式的人群，细分为“新锐白领”、“资深中产”、“精致妈妈”。他们看重产品的品质、安全、功效及品牌带来的情感价值。
2.市场机遇：后疫情时代，消费者对健康、自然、疗愈的需求显著提升；精油市场存在教育空白，有通过场景化体验实现品类认知破圈的机会。
3.核心挑战：需要突破消费者对精油“单一、小众”的传统印象，将其转化为“日常、必备”的高品质生活方式组成部分。</t>
        </is>
      </c>
      <c r="K29" t="inlineStr">
        <is>
          <t>IP联名, 事件营销, 整合营销传播</t>
        </is>
      </c>
      <c r="L29" t="inlineStr">
        <is>
          <t>新媒体, 体验媒体, 内部媒体</t>
        </is>
      </c>
      <c r="M29" t="inlineStr">
        <is>
          <t>社交媒体, 线下活动, 短视频平台, 内容平台</t>
        </is>
      </c>
      <c r="N29" t="inlineStr">
        <is>
          <t>小红书, 参观游览, 品牌官方媒体, 微信公众号, 朋友圈</t>
        </is>
      </c>
      <c r="O29" t="inlineStr">
        <is>
          <t>1.核心传播概念：以 “礼遇自然，点滴珍贵” 为Slogan，延伸出 “世界漫游计划” 主题，寓意doTERRA精油汇聚全球自然精华。
2.三阶段传播节奏：
第一阶段（寻味芬芳）- 预热期（5月）：通过KOL探店、H5互动邀约、公众号话题互动等方式进行前期造势，引发好奇。
第二阶段（赴自然之约）- 引爆期（66精油节期间）：线下快闪店、全国门店同步沙龙活动、线上全平台内容集中爆发，制造事件高潮。
第三阶段（香约兑现）- 转化期（6月上旬）：通过促销活动、社群运营、达人测评合集等内容，进行流量收割和转化。
3.线下活动亮点：
“小绿瓶”艺术馆快闪店：在上海等核心城市商圈设立，通过艺术化设计（如世界地图墙、产品打卡点、互动装置）打造沉浸式体验空间，吸引打卡分享。
门店主题沙龙：在全国11家体验店开展多样化沙龙（如美食沙龙、瑜伽沙龙、芳疗沙龙），结合城市特色，深化精油与本地生活的链接。
4.线上内容矩阵：
小红书：分三波进行。第一波强化产品认知，第二波多场景渗透圈层，第三波测评合集促进转化。合作达人类型包括精油垂类、护肤、母婴、居家好物、精致中老年等。
H5互动：“世界漫游计划”H5，通过MG动画、DIY调油、节日邀约等环节，趣味性传递品牌信息并引流至线下。
社群运营：在微信社群内开展打卡、抽奖、沙龙邀约等活动，增强会员互动和归属感。</t>
        </is>
      </c>
      <c r="P29" t="inlineStr">
        <is>
          <t>1.“五感六觉”体验设计：将抽象的品牌理念转化为可感知的线下体验，例如快闪店的视觉震撼、沙龙的嗅觉愉悦和触觉放松，让品牌印象深入人心。
2.“城市灵魂”定制化链接：将不同单方精油与11个重点城市的地标、文化特色绑定（如上海-玫瑰明珠塔对应玫瑰精油），打造“城市限定”概念，增强本地化共鸣和话题性。
3。会员共创与激励：鼓励老会员组织或参与沙龙，并给予奖励；将会员创作的油画作品定制为礼品袋封面，提升会员的参与感和荣誉感。
4.公益赋能品牌：宣布将活动部分收入捐赠给自然保护基金，提升品牌格调和社会责任感。</t>
        </is>
      </c>
      <c r="Q29" t="inlineStr">
        <is>
          <t>1.线上关键活动：
H5互动邀约：用户可在线DIY虚拟精油，生成专属报告并收到66精油节电子邀请函。
小红书/B站/微博多平台种草：围绕“#世界漫游计划#”、“#把大自然搬进城市#”等话题，由多样化KOL/KOC产出真实体验内容。
朋友圈广告精准投放：利用腾讯平台的定向能力（地域、年龄、兴趣、行为等）精准触达目标人群。
2.线下核心活动：
快闪店打卡动线：入口产品墙 -&gt; 世界地图源料区 -&gt; 精油制作过程互动区 -&gt; 城市灵魂打卡墙 -&gt; 精油产品体验区。
沙龙活动流程：报名邀约 -&gt; 签到入座 -&gt; 精油知识讲解/互动体验（如瑜伽、DIY调油、花艺）-&gt; 产品体验 -&gt; 抽奖/礼品兑换 -&gt; 合影分享。
3.社群运营流程：
打卡活动：会员在群内分享精油使用心得，连续打卡可获得奖励。
抽奖活动：精油节期间每日设置多轮抽奖，刺激群内活跃度。</t>
        </is>
      </c>
      <c r="R29" t="inlineStr">
        <is>
          <t>1.资源投入：
人力：提案方“千卓策划”组建了包含项目总负责人、总策划、总执行、视觉总监等的专业团队。
物力：包括快闪店搭建、全国11家门店的氛围布置、活动物料（礼品、打卡墙、H5开发等）、KOL合作等。
财力：预算覆盖线上广告投放、KOL费用、线下活动执行、礼品制作等。
2.时间规划：整体活动周期近两个月，从4月下旬物料准备开始，到6月中旬长尾转化结束，节奏清晰。
3.效果预估（KPI）：方案虽未明确量化KPI，但目标指向品牌声量提升、会员活跃度增加、销售转化增长。通过前期造势、中期引爆、后期转化的节奏设计，力求最大化活动效果。</t>
        </is>
      </c>
      <c r="S29"/>
      <c r="T29"/>
      <c r="U29"/>
      <c r="V29"/>
      <c r="W29"/>
      <c r="X29"/>
      <c r="Y29" s="3" t="str">
        <f>=HYPERLINK("https://scnymnlhceuf.feishu.cn/file/DwZRbIUBaoYgKwxAV49civJ0no7", "多特瑞66精油节方营销传播案.pdf")</f>
        <v>多特瑞66精油节方营销传播案.pdf</v>
      </c>
      <c r="Z29"/>
    </row>
    <row r="30" ht="25.5" customHeight="1">
      <c r="A30" t="inlineStr">
        <is>
          <t>哈弗 (Haval)，长城汽车旗下品牌</t>
        </is>
      </c>
      <c r="B30" t="inlineStr">
        <is>
          <t>整合营销</t>
        </is>
      </c>
      <c r="C30" s="2"/>
      <c r="D30" t="inlineStr">
        <is>
          <t>制造、能源与基础产业</t>
        </is>
      </c>
      <c r="E30" t="inlineStr">
        <is>
          <t>汽车与交通设备</t>
        </is>
      </c>
      <c r="F30" t="inlineStr">
        <is>
          <t>2023</t>
        </is>
      </c>
      <c r="G30" t="inlineStr">
        <is>
          <t>品牌公关, 产品发布公关, 活动营销公关</t>
        </is>
      </c>
      <c r="H30" t="inlineStr">
        <is>
          <t>认知类目标, 行为类目标, 关系类目标</t>
        </is>
      </c>
      <c r="I30" t="inlineStr">
        <is>
          <t>品牌知名度提升, 新品发布认知, 销售促进, 用户参与/共创, 社区/公众关系</t>
        </is>
      </c>
      <c r="J30" t="inlineStr">
        <is>
          <t>1.市场背景：广州作为新能源销量重点城市，竞争激烈，比亚迪、吉利等品牌已通过体验式营销占据先机；哈弗需借助枭龙系列上市实现差异化突围。
2.用户洞察：目标用户为85-90后都市新锐精英，注重性价比、热衷运动与文化互动（如篮球、龙舟），偏好理性消费。
3.核心挑战：打破竞品营销壁垒，通过本地化、圈层化策略快速触达目标人群，实现品销合一。
4.预期成效：通过“海陆空”立体攻势（文化渗透、圈层深耕、事件引爆），提升品牌声量及市场份额。</t>
        </is>
      </c>
      <c r="K30" t="inlineStr">
        <is>
          <t>KOL/KOC影响力营销, 内容营销, 整合营销传播, 心智种草/口碑营销</t>
        </is>
      </c>
      <c r="L30" t="inlineStr">
        <is>
          <t>新媒体, 体验媒体</t>
        </is>
      </c>
      <c r="M30" t="inlineStr">
        <is>
          <t>社交媒体, 内容平台, 短视频平台, 直播平台, 线下活动</t>
        </is>
      </c>
      <c r="N30" t="inlineStr">
        <is>
          <t>抖音, 朋友圈, 微信公众号, 微博</t>
        </is>
      </c>
      <c r="O30" t="inlineStr">
        <is>
          <t>1.线上预热：通过抖音挑战赛、微信倒计时海报、KOL预告视频等方式为活动造势。
2.线下引爆：在核心商圈、高校、夜间球场等地举办3V3篮球赛；联合龙舟村开展国际龙舟竞技赛。
3.互动引流：设计H5互动页面（如“世界漫游计划”）、线下打卡点（如小绿瓶艺术馆），引导用户参与。
4.直播覆盖：在618等节点开展多城联动直播盛宴，结合福利发放促进转化。
5.私域运营：通过微信社群开展打卡活动、抽奖互动，增强会员黏性。</t>
        </is>
      </c>
      <c r="P30" t="inlineStr">
        <is>
          <t>1.“篮球+龙舟”双IP深耕：借助广州本地文化（篮球氛围、龙舟民俗）打造差异化事件，绑定品牌与城市精神。
2.跨界场景融合：如将快闪店与夜市经济结合（“枭龙潮流都会”），异业合作（奈雪的茶、乐高）提升体验感。
3.用户共创机制：设置“枭龙ICON设计大赛”“车主感恩计划”，让用户参与内容创作与福利设计。
4.科技赋能体验：通过AR互动、直播盲盒等新技术手段提升活动趣味性和传播性。</t>
        </is>
      </c>
      <c r="Q30" t="inlineStr">
        <is>
          <t>1.5月专项-3V3城市篮球挑战赛：
•流程：预热招募（线上平台）→ 多赛场同步开赛（商圈、高校、村镇）→ 明星互动表演赛 → 公益捐赠环节 → 赛后素材二次传播。
2.6月专项-枭龙杯国际龙舟竞技赛：
•流程：发车仪式（经销店）→ 文化探寻路线（黄埔古港、永庆坊等）→ 龙舟训练体验 → 迷你竞技赛 → 颁奖及品鉴会。
3.618狂欢盛宴：
•流程：五城联动（深圳、长沙等）→ 宠粉秀环节（科技体验区、福利盲盒）→ 车主感恩仪式 → 线上同步直播转化。
4.终端日常动作：经销商开展驾控体验、端午节包粽子互动、社群打卡活动，持续引流到店。</t>
        </is>
      </c>
      <c r="R30" t="inlineStr">
        <is>
          <t>1.时间规划：5月聚焦篮球赛及上市预热，6月结合端午节点开展龙舟赛及618大促，双月形成持续热度。
2。资源投入：联合区域KOL、异业品牌、媒体平台；线下覆盖广州核心商圈及11个重点城市终端。
3.效果管控：通过线索平台数据监控、终端检核机制（如“哈弗之星”店长评比）优化执行。</t>
        </is>
      </c>
      <c r="S30"/>
      <c r="T30"/>
      <c r="U30"/>
      <c r="V30"/>
      <c r="W30"/>
      <c r="X30"/>
      <c r="Y30" s="3" t="str">
        <f>=HYPERLINK("https://scnymnlhceuf.feishu.cn/file/MXAubNBjCopmDIxcrb0csdfHnyb", "哈弗汽车整合营销专项方案.pdf")</f>
        <v>哈弗汽车整合营销专项方案.pdf</v>
      </c>
      <c r="Z30"/>
    </row>
    <row r="31" ht="25.5" customHeight="1">
      <c r="A31" t="inlineStr">
        <is>
          <t>极氪（ZEEKR）</t>
        </is>
      </c>
      <c r="B31" t="inlineStr">
        <is>
          <t>整合营销</t>
        </is>
      </c>
      <c r="C31" s="2"/>
      <c r="D31" t="inlineStr">
        <is>
          <t>制造、能源与基础产业</t>
        </is>
      </c>
      <c r="E31" t="inlineStr">
        <is>
          <t>汽车与交通设备</t>
        </is>
      </c>
      <c r="F31" t="inlineStr">
        <is>
          <t>2022</t>
        </is>
      </c>
      <c r="G31" t="inlineStr">
        <is>
          <t>产品发布公关, 品牌公关</t>
        </is>
      </c>
      <c r="H31" t="inlineStr">
        <is>
          <t>认知类目标, 行为类目标, 关系类目标</t>
        </is>
      </c>
      <c r="I31" t="inlineStr">
        <is>
          <t>品牌知名度提升, 新品发布认知, 销售促进, 用户参与/共创, 社区/公众关系</t>
        </is>
      </c>
      <c r="J31" t="inlineStr">
        <is>
          <t>1.市场机遇：2022年纯电MPV市场处于爆发前夜，中高端MPV销量逆势增长，但市场缺乏标杆纯电产品
2.竞争态势：传统MPV（埃尔法、GL8等）在产品力（配置落后、加价严重）上无法满足新用户需求，各大车企加速布局纯电MPV
3.用户洞察：目标TA为"高知新睿的Future Money"，增换购为主，注重驾驶乐趣、科技体验和社会认同
4.核心挑战：在竞品加速布局背景下，需快速建立极氪009"纯电豪华MPV标杆"形象，突破传统MPV市场固化格局</t>
        </is>
      </c>
      <c r="K31" t="inlineStr">
        <is>
          <t>事件营销, 内容营销, 跨界营销, KOL/KOC影响力营销, 整合营销传播</t>
        </is>
      </c>
      <c r="L31" t="inlineStr">
        <is>
          <t>新媒体, 传统媒体, 体验媒体</t>
        </is>
      </c>
      <c r="M31" t="inlineStr">
        <is>
          <t>社交媒体, 内容平台, 短视频平台, 线下活动, 直播平台</t>
        </is>
      </c>
      <c r="N31" t="inlineStr">
        <is>
          <t>微博, 抖音, 微信公众号, 微信视频号, 朋友圈</t>
        </is>
      </c>
      <c r="O31" t="inlineStr">
        <is>
          <t>1.预热期采用倒计时海报形式，以山海意象逐步释放产品主张
2.引爆期通过#极氪CEO灵魂拷问所有MPV#话题引发行业讨论
3.内容深化阶段制作实拍类创意视频，演绎产品豪华场景
4.跨界联动结合世界杯热点，联合KOL创作轻量化内容
5.上市发布会通过"再造豪华"主题集中释放产品信息</t>
        </is>
      </c>
      <c r="P31" t="inlineStr">
        <is>
          <t>1."CEO灵魂拷问"事件：以质疑形式颠覆传统MPV认知，树立标准制定者形象
2."移动大平层"概念：将产品空间优势转化为场景化标签
3.热点借势破圈：绑定世界杯等全民热点降低传播门槛
4.KOL场景化种草：从商务、生活场景真实演绎产品价值</t>
        </is>
      </c>
      <c r="Q31" t="inlineStr">
        <is>
          <t>1.预热阶段（5-7天）：倒计时海报发布，积累期待
2.引爆阶段（上市日）：CEO发布灵魂拷问视频，同步微博话题发酵
3.深化阶段（持续1月）：KOL场景化内容制作，热点借势传播
4.收尾阶段：数据复盘优化后续传播</t>
        </is>
      </c>
      <c r="R31" t="inlineStr">
        <is>
          <t>1.资源投入：集中曝光资源支持上市期传播，头部KOL矩阵覆盖多圈层
2.
时间规划：预热-引爆-深化三阶段递进，总周期约2个月
3.
效果数据：总曝光25.9亿次，日讨论量峰值24万，上市一年交付19516台</t>
        </is>
      </c>
      <c r="S31"/>
      <c r="T31"/>
      <c r="U31"/>
      <c r="V31"/>
      <c r="W31"/>
      <c r="X31"/>
      <c r="Y31" s="3" t="str">
        <f>=HYPERLINK("https://scnymnlhceuf.feishu.cn/file/G6g3bsCExoQMvxxOnWWcLsWWnxe", "极氪ZEEKR009车型上市整合营销创意pdf.pdf")</f>
        <v>极氪ZEEKR009车型上市整合营销创意pdf.pdf</v>
      </c>
      <c r="Z31"/>
    </row>
  </sheetData>
  <dataValidations count="1">
    <dataValidation allowBlank="false" sqref="Z2:Z30" type="list">
      <formula1>"⭐,⭐⭐,⭐⭐⭐,⭐⭐⭐⭐,⭐⭐⭐⭐⭐"</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文本</t>
        </is>
      </c>
      <c r="B1" s="1" t="inlineStr">
        <is>
          <t>一级行业分类</t>
        </is>
      </c>
      <c r="C1" s="1" t="inlineStr">
        <is>
          <t>二级行业分类</t>
        </is>
      </c>
    </row>
    <row r="2" ht="25.5" customHeight="1">
      <c r="A2"/>
      <c r="B2" t="inlineStr">
        <is>
          <t>大消费</t>
        </is>
      </c>
      <c r="C2" t="inlineStr">
        <is>
          <t>美妆与日化, 餐饮类, 健康护理与医疗器械, 乳制品与婴幼儿食品, 旅游, 宠物用品</t>
        </is>
      </c>
    </row>
    <row r="3" ht="25.5" customHeight="1">
      <c r="A3"/>
      <c r="B3" t="inlineStr">
        <is>
          <t>科技与互联网</t>
        </is>
      </c>
      <c r="C3" t="inlineStr">
        <is>
          <t>软件、云与技术服务, 半导体与硬件, 电子商务与零售科技, 社区、内容与互动媒体</t>
        </is>
      </c>
    </row>
    <row r="4" ht="25.5" customHeight="1">
      <c r="A4"/>
      <c r="B4" t="inlineStr">
        <is>
          <t>金融</t>
        </is>
      </c>
      <c r="C4" t="inlineStr">
        <is>
          <t>银行, 投资银行与证券, 保险, 金融科技与专业服务</t>
        </is>
      </c>
    </row>
    <row r="5" ht="25.5" customHeight="1">
      <c r="A5"/>
      <c r="B5" t="inlineStr">
        <is>
          <t>制造、能源与基础产业</t>
        </is>
      </c>
      <c r="C5" t="inlineStr">
        <is>
          <t>汽车与交通设备, 能源与化工, 建筑、工程与房地产, 工业制造与B2B服务</t>
        </is>
      </c>
    </row>
    <row r="6" ht="25.5" customHeight="1">
      <c r="A6"/>
      <c r="B6" t="inlineStr">
        <is>
          <t>医药健康</t>
        </is>
      </c>
      <c r="C6" t="inlineStr">
        <is>
          <t>制药与生物科技, 医疗器械与医疗服务</t>
        </is>
      </c>
    </row>
    <row r="7" ht="25.5" customHeight="1">
      <c r="A7"/>
      <c r="B7" t="inlineStr">
        <is>
          <t>文化、媒体与商业服务</t>
        </is>
      </c>
      <c r="C7" t="inlineStr">
        <is>
          <t>媒体与传播, 营销与商业服务, 内容创意与娱乐, 电竞、体育与教育</t>
        </is>
      </c>
    </row>
    <row r="8" ht="25.5" customHeight="1">
      <c r="A8"/>
      <c r="B8" t="inlineStr">
        <is>
          <t>公共与非营利组织</t>
        </is>
      </c>
      <c r="C8" t="inlineStr">
        <is>
          <t>政府机关/事业单位, 高校/科研机构, 公益组织/社会团体</t>
        </is>
      </c>
    </row>
    <row r="9" ht="25.5" customHeight="1">
      <c r="A9"/>
      <c r="B9"/>
      <c r="C9"/>
    </row>
    <row r="10" ht="25.5" customHeight="1">
      <c r="A10"/>
      <c r="B10"/>
      <c r="C10"/>
    </row>
    <row r="11" ht="25.5" customHeight="1">
      <c r="A11"/>
      <c r="B11"/>
      <c r="C11"/>
    </row>
    <row r="12" ht="25.5" customHeight="1">
      <c r="A12"/>
      <c r="B12"/>
      <c r="C12"/>
    </row>
    <row r="13" ht="25.5" customHeight="1">
      <c r="A13"/>
      <c r="B13"/>
      <c r="C13"/>
    </row>
    <row r="14" ht="25.5" customHeight="1">
      <c r="A14"/>
      <c r="B14"/>
      <c r="C14"/>
    </row>
    <row r="15" ht="25.5" customHeight="1">
      <c r="A15"/>
      <c r="B15"/>
      <c r="C15"/>
    </row>
    <row r="16" ht="25.5" customHeight="1">
      <c r="A16"/>
      <c r="B16"/>
      <c r="C16"/>
    </row>
    <row r="17" ht="25.5" customHeight="1">
      <c r="A17"/>
      <c r="B17"/>
      <c r="C17"/>
    </row>
    <row r="18" ht="25.5" customHeight="1">
      <c r="A18"/>
      <c r="B18"/>
      <c r="C18"/>
    </row>
    <row r="19" ht="25.5" customHeight="1">
      <c r="A19"/>
      <c r="B19"/>
      <c r="C19"/>
    </row>
    <row r="20" ht="25.5" customHeight="1">
      <c r="A20"/>
      <c r="B20"/>
      <c r="C20"/>
    </row>
    <row r="21" ht="25.5" customHeight="1">
      <c r="A21"/>
      <c r="B21"/>
      <c r="C21"/>
    </row>
    <row r="22" ht="25.5" customHeight="1">
      <c r="A22"/>
      <c r="B22"/>
      <c r="C22"/>
    </row>
    <row r="23" ht="25.5" customHeight="1">
      <c r="A23"/>
      <c r="B23"/>
      <c r="C23"/>
    </row>
  </sheetData>
  <dataValidations count="1">
    <dataValidation allowBlank="false" sqref="B2:B22" type="list">
      <formula1>"大消费,科技与互联网,金融,制造、能源与基础产业,医药健康,文化、媒体与商业服务,公共与非营利组织"</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一级分类</t>
        </is>
      </c>
      <c r="C1" s="1" t="inlineStr">
        <is>
          <t>二级分类</t>
        </is>
      </c>
      <c r="D1" s="1" t="inlineStr">
        <is>
          <t>附件</t>
        </is>
      </c>
    </row>
    <row r="2" ht="25.5" customHeight="1">
      <c r="A2"/>
      <c r="B2" t="inlineStr">
        <is>
          <t>认知类目标</t>
        </is>
      </c>
      <c r="C2" t="inlineStr">
        <is>
          <t>品牌知名度提升</t>
        </is>
      </c>
      <c r="D2"/>
    </row>
    <row r="3" ht="25.5" customHeight="1">
      <c r="A3"/>
      <c r="B3" t="inlineStr">
        <is>
          <t>认知类目标</t>
        </is>
      </c>
      <c r="C3" t="inlineStr">
        <is>
          <t>信息传播与教育</t>
        </is>
      </c>
      <c r="D3"/>
    </row>
    <row r="4" ht="25.5" customHeight="1">
      <c r="A4"/>
      <c r="B4" t="inlineStr">
        <is>
          <t>认知类目标</t>
        </is>
      </c>
      <c r="C4" t="inlineStr">
        <is>
          <t>新品发布认知</t>
        </is>
      </c>
      <c r="D4"/>
    </row>
    <row r="5" ht="25.5" customHeight="1">
      <c r="A5"/>
      <c r="B5" t="inlineStr">
        <is>
          <t>认知类目标</t>
        </is>
      </c>
      <c r="C5" t="inlineStr">
        <is>
          <t>危机信息澄清</t>
        </is>
      </c>
      <c r="D5"/>
    </row>
    <row r="6" ht="25.5" customHeight="1">
      <c r="A6"/>
      <c r="B6" t="inlineStr">
        <is>
          <t>态度类目标</t>
        </is>
      </c>
      <c r="C6" t="inlineStr">
        <is>
          <t>品牌形象塑造</t>
        </is>
      </c>
      <c r="D6"/>
    </row>
    <row r="7" ht="25.5" customHeight="1">
      <c r="A7"/>
      <c r="B7" t="inlineStr">
        <is>
          <t>态度类目标</t>
        </is>
      </c>
      <c r="C7" t="inlineStr">
        <is>
          <t>好感度与信任构建</t>
        </is>
      </c>
      <c r="D7"/>
    </row>
    <row r="8" ht="25.5" customHeight="1">
      <c r="A8"/>
      <c r="B8" t="inlineStr">
        <is>
          <t>态度类目标</t>
        </is>
      </c>
      <c r="C8" t="inlineStr">
        <is>
          <t>危机形象修复</t>
        </is>
      </c>
      <c r="D8"/>
    </row>
    <row r="9" ht="25.5" customHeight="1">
      <c r="A9"/>
      <c r="B9" t="inlineStr">
        <is>
          <t>态度类目标</t>
        </is>
      </c>
      <c r="C9" t="inlineStr">
        <is>
          <t>议题引导与立场表达</t>
        </is>
      </c>
      <c r="D9"/>
    </row>
    <row r="10" ht="25.5" customHeight="1">
      <c r="A10"/>
      <c r="B10" t="inlineStr">
        <is>
          <t>关系类目标</t>
        </is>
      </c>
      <c r="C10" t="inlineStr">
        <is>
          <t>媒体关系</t>
        </is>
      </c>
      <c r="D10"/>
    </row>
    <row r="11" ht="25.5" customHeight="1">
      <c r="A11"/>
      <c r="B11" t="inlineStr">
        <is>
          <t>关系类目标</t>
        </is>
      </c>
      <c r="C11" t="inlineStr">
        <is>
          <t>政府关系</t>
        </is>
      </c>
      <c r="D11"/>
    </row>
    <row r="12" ht="25.5" customHeight="1">
      <c r="A12"/>
      <c r="B12" t="inlineStr">
        <is>
          <t>关系类目标</t>
        </is>
      </c>
      <c r="C12" t="inlineStr">
        <is>
          <t>员工关系</t>
        </is>
      </c>
      <c r="D12"/>
    </row>
    <row r="13" ht="25.5" customHeight="1">
      <c r="A13"/>
      <c r="B13" t="inlineStr">
        <is>
          <t>关系类目标</t>
        </is>
      </c>
      <c r="C13" t="inlineStr">
        <is>
          <t>社区/公众关系</t>
        </is>
      </c>
      <c r="D13"/>
    </row>
    <row r="14" ht="25.5" customHeight="1">
      <c r="A14"/>
      <c r="B14" t="inlineStr">
        <is>
          <t>关系类目标</t>
        </is>
      </c>
      <c r="C14" t="inlineStr">
        <is>
          <t>投资者关系</t>
        </is>
      </c>
      <c r="D14"/>
    </row>
    <row r="15" ht="25.5" customHeight="1">
      <c r="A15"/>
      <c r="B15" t="inlineStr">
        <is>
          <t>关系类目标</t>
        </is>
      </c>
      <c r="C15" t="inlineStr">
        <is>
          <t>国际传播</t>
        </is>
      </c>
      <c r="D15"/>
    </row>
    <row r="16" ht="25.5" customHeight="1">
      <c r="A16"/>
      <c r="B16" t="inlineStr">
        <is>
          <t>行为类目标</t>
        </is>
      </c>
      <c r="C16" t="inlineStr">
        <is>
          <t>销售促进, 用户参与/共创, 用户增长/留存, 投资者/合作伙伴沟通, 员工内宣与组织凝聚, 政府/社会关系协调</t>
        </is>
      </c>
      <c r="D16"/>
    </row>
  </sheetData>
  <dataValidations count="1">
    <dataValidation allowBlank="false" sqref="B2:B15" type="list">
      <formula1>"认知类目标,态度类目标,行为类目标,关系类目标"</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一级</t>
        </is>
      </c>
      <c r="C1" s="1" t="inlineStr">
        <is>
          <t>二级</t>
        </is>
      </c>
      <c r="D1" s="1" t="inlineStr">
        <is>
          <t>二级1</t>
        </is>
      </c>
      <c r="E1" s="1" t="inlineStr">
        <is>
          <t>二级对应三级</t>
        </is>
      </c>
    </row>
    <row r="2" ht="25.5" customHeight="1">
      <c r="A2"/>
      <c r="B2" t="inlineStr">
        <is>
          <t>传统媒体</t>
        </is>
      </c>
      <c r="C2" t="inlineStr">
        <is>
          <t>平面媒体, 广播电视媒体, 户外媒体</t>
        </is>
      </c>
      <c r="D2" t="inlineStr">
        <is>
          <t>平面媒体</t>
        </is>
      </c>
      <c r="E2" t="inlineStr">
        <is>
          <t>国家级报纸, 省级报纸, 市级报纸, 其他</t>
        </is>
      </c>
    </row>
    <row r="3" ht="25.5" customHeight="1">
      <c r="A3"/>
      <c r="B3" t="inlineStr">
        <is>
          <t>新媒体</t>
        </is>
      </c>
      <c r="C3" t="inlineStr">
        <is>
          <t>社交媒体, 内容平台, 短视频平台, 直播平台, 搜索/信息流渠道</t>
        </is>
      </c>
      <c r="D3" t="inlineStr">
        <is>
          <t>广播电视媒体</t>
        </is>
      </c>
      <c r="E3" t="inlineStr">
        <is>
          <t>省级媒体, 国家级媒体, 市级媒体, 其他</t>
        </is>
      </c>
    </row>
    <row r="4" ht="25.5" customHeight="1">
      <c r="A4"/>
      <c r="B4" t="inlineStr">
        <is>
          <t>体验媒体</t>
        </is>
      </c>
      <c r="C4" t="inlineStr">
        <is>
          <t>线下活动, 快闪/展陈空间, 场景互动媒体</t>
        </is>
      </c>
      <c r="D4" t="inlineStr">
        <is>
          <t>户外媒体</t>
        </is>
      </c>
      <c r="E4"/>
    </row>
    <row r="5" ht="25.5" customHeight="1">
      <c r="A5"/>
      <c r="B5" t="inlineStr">
        <is>
          <t>内部媒体</t>
        </is>
      </c>
      <c r="C5" t="inlineStr">
        <is>
          <t>企业内刊/简报, 内部社交平台, 雇主品牌传播渠道</t>
        </is>
      </c>
      <c r="D5" t="inlineStr">
        <is>
          <t>社交媒体</t>
        </is>
      </c>
      <c r="E5" t="inlineStr">
        <is>
          <t>微博, 小红书, 抖音, bilibili, 微信视频号, 快手, 大众点评, 美团, 朋友圈</t>
        </is>
      </c>
    </row>
    <row r="6" ht="25.5" customHeight="1">
      <c r="A6"/>
      <c r="B6"/>
      <c r="C6"/>
      <c r="D6" t="inlineStr">
        <is>
          <t>内容平台</t>
        </is>
      </c>
      <c r="E6" t="inlineStr">
        <is>
          <t>微博, 小红书, 抖音, bilibili, 微信视频号, 微信公众号, 知乎, 快手, 今日头条, 大众点评, 美团, 朋友圈, 品牌官方媒体, 淘宝、唯品会、京东等电商平台</t>
        </is>
      </c>
    </row>
    <row r="7" ht="25.5" customHeight="1">
      <c r="A7"/>
      <c r="B7"/>
      <c r="C7"/>
      <c r="D7" t="inlineStr">
        <is>
          <t>短视频平台</t>
        </is>
      </c>
      <c r="E7" t="inlineStr">
        <is>
          <t>抖音, 微信视频号, 快手, bilibili</t>
        </is>
      </c>
    </row>
    <row r="8" ht="25.5" customHeight="1">
      <c r="A8"/>
      <c r="B8"/>
      <c r="C8"/>
      <c r="D8" t="inlineStr">
        <is>
          <t>直播平台</t>
        </is>
      </c>
      <c r="E8" t="inlineStr">
        <is>
          <t>淘宝直播, 抖音直播, 微信小程序直播</t>
        </is>
      </c>
    </row>
    <row r="9" ht="25.5" customHeight="1">
      <c r="A9"/>
      <c r="B9"/>
      <c r="C9"/>
      <c r="D9" t="inlineStr">
        <is>
          <t>搜索/信息流渠道</t>
        </is>
      </c>
      <c r="E9" t="inlineStr">
        <is>
          <t>百度, 搜狐, 谷歌, 广告投放</t>
        </is>
      </c>
    </row>
    <row r="10" ht="25.5" customHeight="1">
      <c r="A10"/>
      <c r="B10"/>
      <c r="C10"/>
      <c r="D10" t="inlineStr">
        <is>
          <t>线下活动</t>
        </is>
      </c>
      <c r="E10" t="inlineStr">
        <is>
          <t>新闻发布会, 论坛/峰会, 参观游览</t>
        </is>
      </c>
    </row>
    <row r="11" ht="25.5" customHeight="1">
      <c r="A11"/>
      <c r="B11"/>
      <c r="C11"/>
      <c r="D11" t="inlineStr">
        <is>
          <t>快闪/展陈空间</t>
        </is>
      </c>
      <c r="E11" t="inlineStr">
        <is>
          <t>品牌快闪</t>
        </is>
      </c>
    </row>
    <row r="12" ht="25.5" customHeight="1">
      <c r="A12"/>
      <c r="B12"/>
      <c r="C12"/>
      <c r="D12" t="inlineStr">
        <is>
          <t>场景互动媒体</t>
        </is>
      </c>
      <c r="E12" t="inlineStr">
        <is>
          <t>AR体验</t>
        </is>
      </c>
    </row>
    <row r="13" ht="25.5" customHeight="1">
      <c r="A13"/>
      <c r="B13"/>
      <c r="C13"/>
      <c r="D13" t="inlineStr">
        <is>
          <t>企业内刊/简报</t>
        </is>
      </c>
      <c r="E13"/>
    </row>
    <row r="14" ht="25.5" customHeight="1">
      <c r="A14"/>
      <c r="B14"/>
      <c r="C14"/>
      <c r="D14" t="inlineStr">
        <is>
          <t>内部社交平台</t>
        </is>
      </c>
      <c r="E14" t="inlineStr">
        <is>
          <t>企业微信, 飞书社区, 钉钉社区</t>
        </is>
      </c>
    </row>
    <row r="15" ht="25.5" customHeight="1">
      <c r="A15"/>
      <c r="B15"/>
      <c r="C15"/>
      <c r="D15" t="inlineStr">
        <is>
          <t>雇主品牌传播渠道</t>
        </is>
      </c>
      <c r="E15" t="inlineStr">
        <is>
          <t>招聘网站, 校园宣讲</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